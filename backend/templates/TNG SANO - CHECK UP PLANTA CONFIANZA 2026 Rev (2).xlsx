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oporte.desarrollo2\Documents\Visual Studio Code\tng-medical\backend\templates\"/>
    </mc:Choice>
  </mc:AlternateContent>
  <xr:revisionPtr revIDLastSave="0" documentId="13_ncr:1_{00CCBCA5-5C5B-476D-897C-C5881EB5C073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Registro" sheetId="10" r:id="rId1"/>
    <sheet name="Gráficas TNG Sano" sheetId="8" r:id="rId2"/>
    <sheet name="Tendencia x Participante" sheetId="9" r:id="rId3"/>
    <sheet name="GENERAL 2026" sheetId="7" r:id="rId4"/>
    <sheet name="Hoja1" sheetId="3" r:id="rId5"/>
  </sheets>
  <externalReferences>
    <externalReference r:id="rId6"/>
  </externalReferences>
  <definedNames>
    <definedName name="_xlnm._FilterDatabase" localSheetId="3" hidden="1">'GENERAL 2026'!$A$1:$AB$141</definedName>
    <definedName name="_xlnm._FilterDatabase" localSheetId="1" hidden="1">'Gráficas TNG Sano'!$C$1:$D$127</definedName>
    <definedName name="_xlnm._FilterDatabase" localSheetId="0" hidden="1">Registro!$A$4:$FV$6</definedName>
    <definedName name="_xlnm._FilterDatabase" localSheetId="2" hidden="1">'Tendencia x Participante'!$A$2:$P$142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F5" i="10" l="1"/>
  <c r="BR5" i="10"/>
  <c r="BD5" i="10"/>
  <c r="AP5" i="10" l="1"/>
  <c r="T5" i="10" l="1"/>
  <c r="W53" i="8"/>
  <c r="FU5" i="10" l="1"/>
  <c r="FI5" i="10"/>
  <c r="EW5" i="10"/>
  <c r="EK5" i="10"/>
  <c r="DY5" i="10"/>
  <c r="DM5" i="10"/>
  <c r="DA5" i="10"/>
  <c r="CO5" i="10"/>
  <c r="CA5" i="10"/>
  <c r="BM5" i="10"/>
  <c r="AY5" i="10"/>
  <c r="AK5" i="10"/>
  <c r="AE5" i="10"/>
  <c r="Z5" i="10"/>
  <c r="S5" i="10"/>
  <c r="M5" i="10"/>
  <c r="N5" i="10"/>
  <c r="O5" i="10" s="1"/>
  <c r="W43" i="8"/>
  <c r="W52" i="8"/>
  <c r="W51" i="8"/>
  <c r="W50" i="8"/>
  <c r="W49" i="8"/>
  <c r="W48" i="8"/>
  <c r="W47" i="8"/>
  <c r="W46" i="8"/>
  <c r="W45" i="8"/>
  <c r="W44" i="8"/>
  <c r="F52" i="8"/>
  <c r="F38" i="8"/>
  <c r="D11" i="8"/>
  <c r="F24" i="8"/>
  <c r="G138" i="9"/>
  <c r="G137" i="9"/>
  <c r="G136" i="9"/>
  <c r="G135" i="9"/>
  <c r="G134" i="9"/>
  <c r="G133" i="9"/>
  <c r="G132" i="9"/>
  <c r="G131" i="9"/>
  <c r="G129" i="9"/>
  <c r="G128" i="9"/>
  <c r="G127" i="9"/>
  <c r="G121" i="9"/>
  <c r="G119" i="9"/>
  <c r="G118" i="9"/>
  <c r="G111" i="9"/>
  <c r="G105" i="9"/>
  <c r="G101" i="9"/>
  <c r="G99" i="9"/>
  <c r="G88" i="9"/>
  <c r="P5" i="10" l="1"/>
  <c r="Q5" i="10" s="1"/>
  <c r="AL5" i="10" l="1"/>
  <c r="AN5" i="10" l="1"/>
  <c r="AZ5" i="10"/>
  <c r="G130" i="9"/>
  <c r="G125" i="9"/>
  <c r="G123" i="9"/>
  <c r="G116" i="9"/>
  <c r="G112" i="9"/>
  <c r="G109" i="9"/>
  <c r="G103" i="9"/>
  <c r="G84" i="9"/>
  <c r="G83" i="9"/>
  <c r="G78" i="9"/>
  <c r="F51" i="8"/>
  <c r="F37" i="8"/>
  <c r="F23" i="8"/>
  <c r="D10" i="8"/>
  <c r="BB5" i="10" l="1"/>
  <c r="BN5" i="10"/>
  <c r="BP5" i="10" l="1"/>
  <c r="BU5" i="10" s="1"/>
  <c r="CB5" i="10"/>
  <c r="CP5" i="10" l="1"/>
  <c r="CD5" i="10"/>
  <c r="CI5" i="10" s="1"/>
  <c r="DB5" i="10" l="1"/>
  <c r="CR5" i="10"/>
  <c r="CU5" i="10" s="1"/>
  <c r="DD5" i="10" l="1"/>
  <c r="DG5" i="10" s="1"/>
  <c r="DN5" i="10"/>
  <c r="DP5" i="10" l="1"/>
  <c r="DS5" i="10" s="1"/>
  <c r="DZ5" i="10"/>
  <c r="EB5" i="10" l="1"/>
  <c r="EE5" i="10" s="1"/>
  <c r="EL5" i="10"/>
  <c r="EX5" i="10" l="1"/>
  <c r="EN5" i="10"/>
  <c r="EQ5" i="10" s="1"/>
  <c r="FJ5" i="10" l="1"/>
  <c r="FL5" i="10" s="1"/>
  <c r="EZ5" i="10"/>
  <c r="FC5" i="10" s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9" i="9"/>
  <c r="G80" i="9"/>
  <c r="G81" i="9"/>
  <c r="G82" i="9"/>
  <c r="G85" i="9"/>
  <c r="G86" i="9"/>
  <c r="G87" i="9"/>
  <c r="G89" i="9"/>
  <c r="G90" i="9"/>
  <c r="G91" i="9"/>
  <c r="G92" i="9"/>
  <c r="G93" i="9"/>
  <c r="G94" i="9"/>
  <c r="G95" i="9"/>
  <c r="G96" i="9"/>
  <c r="G97" i="9"/>
  <c r="G98" i="9"/>
  <c r="G100" i="9"/>
  <c r="G102" i="9"/>
  <c r="G104" i="9"/>
  <c r="G106" i="9"/>
  <c r="G107" i="9"/>
  <c r="G108" i="9"/>
  <c r="G110" i="9"/>
  <c r="G113" i="9"/>
  <c r="G114" i="9"/>
  <c r="G115" i="9"/>
  <c r="G117" i="9"/>
  <c r="G120" i="9"/>
  <c r="G122" i="9"/>
  <c r="G124" i="9"/>
  <c r="G126" i="9"/>
  <c r="G139" i="9"/>
  <c r="G140" i="9"/>
  <c r="G141" i="9"/>
  <c r="G142" i="9"/>
  <c r="D2" i="8"/>
  <c r="D3" i="8"/>
  <c r="D4" i="8"/>
  <c r="D5" i="8"/>
  <c r="D6" i="8"/>
  <c r="D7" i="8"/>
  <c r="D8" i="8"/>
  <c r="D9" i="8"/>
  <c r="F15" i="8"/>
  <c r="F16" i="8"/>
  <c r="F17" i="8"/>
  <c r="F18" i="8"/>
  <c r="F19" i="8"/>
  <c r="F20" i="8"/>
  <c r="F21" i="8"/>
  <c r="F22" i="8"/>
  <c r="F29" i="8"/>
  <c r="F30" i="8"/>
  <c r="F31" i="8"/>
  <c r="F32" i="8"/>
  <c r="F33" i="8"/>
  <c r="F34" i="8"/>
  <c r="F35" i="8"/>
  <c r="F36" i="8"/>
  <c r="B43" i="8"/>
  <c r="C43" i="8"/>
  <c r="D43" i="8"/>
  <c r="E43" i="8"/>
  <c r="F43" i="8" s="1"/>
  <c r="B44" i="8"/>
  <c r="C44" i="8"/>
  <c r="D44" i="8"/>
  <c r="E44" i="8"/>
  <c r="B45" i="8"/>
  <c r="C45" i="8"/>
  <c r="D45" i="8"/>
  <c r="E45" i="8"/>
  <c r="B46" i="8"/>
  <c r="C46" i="8"/>
  <c r="D46" i="8"/>
  <c r="E46" i="8"/>
  <c r="B47" i="8"/>
  <c r="C47" i="8"/>
  <c r="D47" i="8"/>
  <c r="E47" i="8"/>
  <c r="F47" i="8" s="1"/>
  <c r="B48" i="8"/>
  <c r="C48" i="8"/>
  <c r="D48" i="8"/>
  <c r="E48" i="8"/>
  <c r="B49" i="8"/>
  <c r="C49" i="8"/>
  <c r="D49" i="8"/>
  <c r="E49" i="8"/>
  <c r="F50" i="8"/>
  <c r="FO5" i="10" l="1"/>
  <c r="F46" i="8"/>
  <c r="F45" i="8"/>
  <c r="F48" i="8"/>
  <c r="F49" i="8"/>
  <c r="F44" i="8"/>
  <c r="FV5" i="10"/>
</calcChain>
</file>

<file path=xl/sharedStrings.xml><?xml version="1.0" encoding="utf-8"?>
<sst xmlns="http://schemas.openxmlformats.org/spreadsheetml/2006/main" count="3076" uniqueCount="476">
  <si>
    <t>MATRICULA</t>
  </si>
  <si>
    <t>NOMBRE</t>
  </si>
  <si>
    <t>EDAD</t>
  </si>
  <si>
    <t>TALLA</t>
  </si>
  <si>
    <t>PESO</t>
  </si>
  <si>
    <t>IMC</t>
  </si>
  <si>
    <t>PA</t>
  </si>
  <si>
    <t>GLUCOSA</t>
  </si>
  <si>
    <t>COLESTEROL</t>
  </si>
  <si>
    <t>TRIGLICERIDOS</t>
  </si>
  <si>
    <t>TA</t>
  </si>
  <si>
    <t>C-1096</t>
  </si>
  <si>
    <t>C-1101</t>
  </si>
  <si>
    <t>C-1138</t>
  </si>
  <si>
    <t>C-1052</t>
  </si>
  <si>
    <t>C-1000</t>
  </si>
  <si>
    <t>C-1132</t>
  </si>
  <si>
    <t>C-1209</t>
  </si>
  <si>
    <t>C-1054</t>
  </si>
  <si>
    <t>C-1254</t>
  </si>
  <si>
    <t>C-1179</t>
  </si>
  <si>
    <t>C-1039</t>
  </si>
  <si>
    <t>COMPRAS</t>
  </si>
  <si>
    <t>C-1040</t>
  </si>
  <si>
    <t>C-1095</t>
  </si>
  <si>
    <t>C-1117</t>
  </si>
  <si>
    <t>C-1034</t>
  </si>
  <si>
    <t>PROYECTOS</t>
  </si>
  <si>
    <t>C-1001</t>
  </si>
  <si>
    <t>TI</t>
  </si>
  <si>
    <t>C-1113</t>
  </si>
  <si>
    <t>C-1031</t>
  </si>
  <si>
    <t>C-1087</t>
  </si>
  <si>
    <t>C-1075</t>
  </si>
  <si>
    <t>C-1051</t>
  </si>
  <si>
    <t>C-1046</t>
  </si>
  <si>
    <t>DEPARTAMENTO</t>
  </si>
  <si>
    <t>M</t>
  </si>
  <si>
    <t>AGUSTIN MANCISIDOR ALAVES</t>
  </si>
  <si>
    <t>ABEL USCANGA MUÑOZ</t>
  </si>
  <si>
    <t>C-0035</t>
  </si>
  <si>
    <t>C-0050</t>
  </si>
  <si>
    <t>C-0135</t>
  </si>
  <si>
    <t>C-0147</t>
  </si>
  <si>
    <t>C-0221</t>
  </si>
  <si>
    <t>C-0246</t>
  </si>
  <si>
    <t>C-0257</t>
  </si>
  <si>
    <t>C-0280</t>
  </si>
  <si>
    <t>C-0316</t>
  </si>
  <si>
    <t>C-0332</t>
  </si>
  <si>
    <t>C-0514</t>
  </si>
  <si>
    <t>C-0524</t>
  </si>
  <si>
    <t>C-0554</t>
  </si>
  <si>
    <t>C-0632</t>
  </si>
  <si>
    <t>C-0634</t>
  </si>
  <si>
    <t>C-0639</t>
  </si>
  <si>
    <t>C-0655</t>
  </si>
  <si>
    <t>C-0661</t>
  </si>
  <si>
    <t>C-0671</t>
  </si>
  <si>
    <t>C-0675</t>
  </si>
  <si>
    <t>C-0681</t>
  </si>
  <si>
    <t>C-0713</t>
  </si>
  <si>
    <t>C-0717</t>
  </si>
  <si>
    <t>C-0734</t>
  </si>
  <si>
    <t>C-0738</t>
  </si>
  <si>
    <t>C-0758</t>
  </si>
  <si>
    <t>C-0759</t>
  </si>
  <si>
    <t>C-0762</t>
  </si>
  <si>
    <t>C-0772</t>
  </si>
  <si>
    <t>C-0792</t>
  </si>
  <si>
    <t>C-0810</t>
  </si>
  <si>
    <t>C-0818</t>
  </si>
  <si>
    <t>C-0874</t>
  </si>
  <si>
    <t>C-0875</t>
  </si>
  <si>
    <t>C-0876</t>
  </si>
  <si>
    <t>C-0883</t>
  </si>
  <si>
    <t>C-0893</t>
  </si>
  <si>
    <t>C-0894</t>
  </si>
  <si>
    <t>C-0896</t>
  </si>
  <si>
    <t>C-0897</t>
  </si>
  <si>
    <t>C-0907</t>
  </si>
  <si>
    <t>C-0910</t>
  </si>
  <si>
    <t>C-0913</t>
  </si>
  <si>
    <t>C-0928</t>
  </si>
  <si>
    <t>C-0930</t>
  </si>
  <si>
    <t>C-0932</t>
  </si>
  <si>
    <t>C-0973</t>
  </si>
  <si>
    <t>C-0993</t>
  </si>
  <si>
    <t>C-0996</t>
  </si>
  <si>
    <t>C-0997</t>
  </si>
  <si>
    <t>C-0998</t>
  </si>
  <si>
    <t>MIGUEL FELIPE ORTEGA SOSA</t>
  </si>
  <si>
    <t>VICTOR DOZAL ORTIZ</t>
  </si>
  <si>
    <t>TOMAS SOYA ZETINA</t>
  </si>
  <si>
    <t>VICTOR HUGO BAEZ PORTILLA</t>
  </si>
  <si>
    <t>MIGUEL ANGEL VELAZQUEZ RUBIO</t>
  </si>
  <si>
    <t>JORGE ALBERTO VAZQUEZ BOBADILLA</t>
  </si>
  <si>
    <t>JORGE DÍAZ VELAZQUEZ</t>
  </si>
  <si>
    <t>LETICIA CISNEROS MORENO</t>
  </si>
  <si>
    <t>ALFREDO CRUZ RODRIGUEZ</t>
  </si>
  <si>
    <t>ANTONIO FLORES GARCIA</t>
  </si>
  <si>
    <t>JUAN JOSE DUARTE SARMIENTO</t>
  </si>
  <si>
    <t>EFREN ALEJANDRO RAMIREZ CRUZ</t>
  </si>
  <si>
    <t>ALEJANDRINA MONTERO HERNANDEZ</t>
  </si>
  <si>
    <t>LIZETTE TRINIDAD ABURTO</t>
  </si>
  <si>
    <t>JUAN CARLOS MALDONADO MONTAGNER</t>
  </si>
  <si>
    <t>VICTOR HUGO ENRIQUEZ CALDERON</t>
  </si>
  <si>
    <t>JORGE ALFREDO GONZALEZ BELTRAN</t>
  </si>
  <si>
    <t>JENRY CORTES CAYETANO</t>
  </si>
  <si>
    <t>RICARDO CRISPIN CALLES CASTRO</t>
  </si>
  <si>
    <t>JAIME CLEMENTE PEREZ RODRIGUEZ</t>
  </si>
  <si>
    <t>BERNARDO CORRONS FERNANDEZ</t>
  </si>
  <si>
    <t>JOSE ANTONIO RODRIGUEZ RAMIREZ</t>
  </si>
  <si>
    <t>ENRIQUE DE JESUS SERRANO MURGA</t>
  </si>
  <si>
    <t>ALEJANDRO RUIZ GUZMAN</t>
  </si>
  <si>
    <t>RICARDO HERMIDA HERNANDEZ</t>
  </si>
  <si>
    <t>CIRO ALFREDO MONRRAGA</t>
  </si>
  <si>
    <t>SERGIO RICARDO CARDENAS TORRES</t>
  </si>
  <si>
    <t>ALICIA GRAJALES HERNANDEZ</t>
  </si>
  <si>
    <t xml:space="preserve">ROBERTO CARLOS FIERRO </t>
  </si>
  <si>
    <t>JOSE ISRAEL LOPEZ CRUZ</t>
  </si>
  <si>
    <t>OMAR LADRON DE GUEVARA BARRIENTOS</t>
  </si>
  <si>
    <t>VICTOR HUGO VELEZ GARCIA</t>
  </si>
  <si>
    <t>IVAN MORALES MENDOZA</t>
  </si>
  <si>
    <t>DENIS DEL CARMEN CALIZ REYES</t>
  </si>
  <si>
    <t>JAVIER BISMARCK REYES CANTARELL</t>
  </si>
  <si>
    <t>WILLIAMS COSSIO GUILLEN</t>
  </si>
  <si>
    <t>JUAN JOSE ANTONIO ZAMUDIO VELASCO</t>
  </si>
  <si>
    <t>JESUS HERNANDEZ GONZALEZ</t>
  </si>
  <si>
    <t>ROBERTO PACHECO MARTINEZ</t>
  </si>
  <si>
    <t>MIGUEL ANGEL PALACIOS SILVIA</t>
  </si>
  <si>
    <t>ENRIQUE FERNANDEZ CAZARES</t>
  </si>
  <si>
    <t>IVO EDUARDO HERRERA ORTIZ</t>
  </si>
  <si>
    <t>DANIEL ROMERO HUESCA</t>
  </si>
  <si>
    <t>VICTOR ARRIETA ANTONIO</t>
  </si>
  <si>
    <t>DANIEL ARELLANO HERNANDEZ</t>
  </si>
  <si>
    <t>PAOLA DEL CARMEN YEPEZ DOMINGUEZ</t>
  </si>
  <si>
    <t>MATIAS ARTEMIO CORDOBA MONTEJO</t>
  </si>
  <si>
    <t>BERNABE ESCALANTE LUNA</t>
  </si>
  <si>
    <t>RENE AVELLO MENDEZ</t>
  </si>
  <si>
    <t>ANTONIO MORENO ANDRADE</t>
  </si>
  <si>
    <t>JOSE CHRISTIAN VARGAS MENDOZA</t>
  </si>
  <si>
    <t>MANUEL SIU LOPEZ</t>
  </si>
  <si>
    <t>VICTOR GABRIEL LOPEZ MENDEZ</t>
  </si>
  <si>
    <t>JOASHIM OMAR SALDAÑA ALCANTARA</t>
  </si>
  <si>
    <t>CARLOS SANTIBAÑEZ REYNA</t>
  </si>
  <si>
    <t>LUIS ANGEL CASTELLANOS DOMINGUEZ</t>
  </si>
  <si>
    <t>FRANCISCO JORGE ANTONIO ROCHA OCAMPO</t>
  </si>
  <si>
    <t>ALBERTO GARCIA VILLALOBOS</t>
  </si>
  <si>
    <t>YAIR PADRON ACUÑA</t>
  </si>
  <si>
    <t>NICOLAS QUEVEDO CANO</t>
  </si>
  <si>
    <t>RICARDO MOLINA SANCHEZ</t>
  </si>
  <si>
    <t>ISRAEL LARA SUAREZ</t>
  </si>
  <si>
    <t>EMMANUEL AARON GOMEZ FIGUEROA</t>
  </si>
  <si>
    <t>ALMA GUADALUPE SAMANO MARTINEZ</t>
  </si>
  <si>
    <t>LILIANE NEGRETE FREBAULT</t>
  </si>
  <si>
    <t>MAURICIO MOLINA CHAVEZ</t>
  </si>
  <si>
    <t xml:space="preserve">MARÍA SUSANA AGUILETA ROQUET </t>
  </si>
  <si>
    <t>DAVID MARTINEZ ISLAS</t>
  </si>
  <si>
    <t>SEXO</t>
  </si>
  <si>
    <t>REAL</t>
  </si>
  <si>
    <t>CUMPLIMIENTO PESO %</t>
  </si>
  <si>
    <t>META</t>
  </si>
  <si>
    <t>Peso</t>
  </si>
  <si>
    <t>Glucosa</t>
  </si>
  <si>
    <t>Trigliceridos</t>
  </si>
  <si>
    <t>Colesterol</t>
  </si>
  <si>
    <t>TOTAL %</t>
  </si>
  <si>
    <t>SIG</t>
  </si>
  <si>
    <t>META FINAL (PESO)</t>
  </si>
  <si>
    <t>TOTAL KG A PERDER</t>
  </si>
  <si>
    <t>CATEGORIA (OMS)</t>
  </si>
  <si>
    <t>MA. DE LOS ANGELES RODRIGUEZ MARTINEZ</t>
  </si>
  <si>
    <t>C-1255</t>
  </si>
  <si>
    <t>ITZEL ALEJANDRA GUTIERREZ RODRIGUEZ</t>
  </si>
  <si>
    <t>Falta</t>
  </si>
  <si>
    <t>Julio</t>
  </si>
  <si>
    <t>Agosto</t>
  </si>
  <si>
    <t>enero</t>
  </si>
  <si>
    <t>Febrero</t>
  </si>
  <si>
    <t>Marzo</t>
  </si>
  <si>
    <t>Abril</t>
  </si>
  <si>
    <t>Mayo</t>
  </si>
  <si>
    <t>Junio</t>
  </si>
  <si>
    <t>C-1334</t>
  </si>
  <si>
    <t>ITZEL DELFIN BARRIOS</t>
  </si>
  <si>
    <t>C-1398</t>
  </si>
  <si>
    <t>ALAN GARCÍA MORTEO</t>
  </si>
  <si>
    <t>AGUSTIN RAMIREZ LAZCANO</t>
  </si>
  <si>
    <t>Noviembre</t>
  </si>
  <si>
    <t>Septiembre</t>
  </si>
  <si>
    <t>Octubre</t>
  </si>
  <si>
    <t>Diciembre</t>
  </si>
  <si>
    <t>C-0692</t>
  </si>
  <si>
    <t>JOSE NORBERTO ORTIZ FLORES</t>
  </si>
  <si>
    <t>C-1200</t>
  </si>
  <si>
    <t>ARMANDO ENRIQUE ESQUIVEL ALMANZA</t>
  </si>
  <si>
    <t>C-1382</t>
  </si>
  <si>
    <t>RAUL RAMÓN CRUZ</t>
  </si>
  <si>
    <t>C-1443</t>
  </si>
  <si>
    <t>C-1229</t>
  </si>
  <si>
    <t>RODRIGO MONTERO VARELA</t>
  </si>
  <si>
    <t>C-1421</t>
  </si>
  <si>
    <t>VICTOR OLIVOS BAIZABAL</t>
  </si>
  <si>
    <t>C-1430</t>
  </si>
  <si>
    <t>JURIDICO</t>
  </si>
  <si>
    <t>MARLENE LAGUNES MARTINEZ</t>
  </si>
  <si>
    <t>CRISTOPHER JANZEEL RAMIREZ MARISCAL</t>
  </si>
  <si>
    <t>C-1225</t>
  </si>
  <si>
    <t>YARITZA ISELA TORAL RIVERA</t>
  </si>
  <si>
    <t>KG A PERDER POR MES</t>
  </si>
  <si>
    <t>SISTOLICA</t>
  </si>
  <si>
    <t>DIASTOLICA</t>
  </si>
  <si>
    <t>PERIODO (MESES)</t>
  </si>
  <si>
    <t>constante por sexo</t>
  </si>
  <si>
    <t>C-0951</t>
  </si>
  <si>
    <t>DORIAN CAZARIN ROJAS</t>
  </si>
  <si>
    <t>C-1136</t>
  </si>
  <si>
    <t>DIEGO ARMANDO HERNANDEZ YEPEZ</t>
  </si>
  <si>
    <t>C-1345</t>
  </si>
  <si>
    <t>ALAN DOMINGUEZ MATA</t>
  </si>
  <si>
    <t>C-1414</t>
  </si>
  <si>
    <t>JUAN CARLOS GOMEZ ROMERO</t>
  </si>
  <si>
    <t>C-1335</t>
  </si>
  <si>
    <t>SINAI GALLARDO ABURTO</t>
  </si>
  <si>
    <t>FIDEL JAFET PEDROZA URBAEZ</t>
  </si>
  <si>
    <t>RRHH</t>
  </si>
  <si>
    <t>COMERCIO EXTERIOR</t>
  </si>
  <si>
    <t>C-1493</t>
  </si>
  <si>
    <t>JAVIER GERARDO WONG BAIZABAL</t>
  </si>
  <si>
    <t>C-1206</t>
  </si>
  <si>
    <t>GABRIEL OJEDA LÓPEZ</t>
  </si>
  <si>
    <t>FECHA DE NACIMIENTO</t>
  </si>
  <si>
    <t>FINANZAS</t>
  </si>
  <si>
    <t>OBRAS INDUSTRIALES</t>
  </si>
  <si>
    <t>MARKETING</t>
  </si>
  <si>
    <t>C-1534</t>
  </si>
  <si>
    <t>NICOLÁS DE JESUS RAMÍREZ ARAUZ</t>
  </si>
  <si>
    <t>C-1340</t>
  </si>
  <si>
    <t>JOSÉ DANIEL CONTRERAS PALMERÍN</t>
  </si>
  <si>
    <t>C-1350</t>
  </si>
  <si>
    <t>NESTOR YAIR BARROS CASTILLO</t>
  </si>
  <si>
    <t>C-0954</t>
  </si>
  <si>
    <t xml:space="preserve">CUAHUTEMOC VIDALES PEREZ </t>
  </si>
  <si>
    <t>SANO</t>
  </si>
  <si>
    <t>C-0711</t>
  </si>
  <si>
    <t>ALAN SILVA MONTALVO</t>
  </si>
  <si>
    <t>C-1344</t>
  </si>
  <si>
    <t>JOSE DE JESUS OCHOA SANDOVAL</t>
  </si>
  <si>
    <t>FALTA</t>
  </si>
  <si>
    <t>C-1331</t>
  </si>
  <si>
    <t>MARCO ANTONIO LARA SANCHEZ</t>
  </si>
  <si>
    <t>C-1536</t>
  </si>
  <si>
    <t>KARINA CRISTEL GOMEZ CRUZ</t>
  </si>
  <si>
    <t>C-1571</t>
  </si>
  <si>
    <t>MARIA ANTONIETA MALPICA HERNANDEZ</t>
  </si>
  <si>
    <t>C-1322</t>
  </si>
  <si>
    <t>C-1347</t>
  </si>
  <si>
    <t>C-1601</t>
  </si>
  <si>
    <t>FRANCISCO RIVAS AQUINO</t>
  </si>
  <si>
    <t>AMAIRANY MONT GONZALEZ</t>
  </si>
  <si>
    <t>MOISES SACRAMENTO LANDA</t>
  </si>
  <si>
    <t>C-1547</t>
  </si>
  <si>
    <t>DANIEL VELA CENTURION</t>
  </si>
  <si>
    <t>CONTRATO</t>
  </si>
  <si>
    <t>PLANTA</t>
  </si>
  <si>
    <t>DOE</t>
  </si>
  <si>
    <t>VENTAS</t>
  </si>
  <si>
    <t>ASISTENCIA</t>
  </si>
  <si>
    <t>ESTATUS DE SALUD</t>
  </si>
  <si>
    <t>SI</t>
  </si>
  <si>
    <t>NO</t>
  </si>
  <si>
    <t>R. MODERADO</t>
  </si>
  <si>
    <t>R. ALTO</t>
  </si>
  <si>
    <t>PRODUCCION Y MTTO.</t>
  </si>
  <si>
    <t>C-1323</t>
  </si>
  <si>
    <t>IVONNE POISOT BERMEJO</t>
  </si>
  <si>
    <t>C-1533</t>
  </si>
  <si>
    <t>RAYMUNDO BARRADAS GILES</t>
  </si>
  <si>
    <t>C-1589</t>
  </si>
  <si>
    <t>LAURA NORELY LAGUNES TELLEZ</t>
  </si>
  <si>
    <t>C-1631</t>
  </si>
  <si>
    <t>ANGEL DE JESUS BRAVO MURILLO</t>
  </si>
  <si>
    <t>GERENCIA GENERAL</t>
  </si>
  <si>
    <t>INGENIERÍA Y D. O.</t>
  </si>
  <si>
    <t>EXPERIENCIA DEL CLIENTE</t>
  </si>
  <si>
    <t>SOS</t>
  </si>
  <si>
    <t>TOTAL</t>
  </si>
  <si>
    <t>SANOS</t>
  </si>
  <si>
    <t>AUSENCIAS</t>
  </si>
  <si>
    <t>CORPORATIVO</t>
  </si>
  <si>
    <t>ICAVE</t>
  </si>
  <si>
    <t>FLOR ALEJANDRA HERRERA RAMIREZ</t>
  </si>
  <si>
    <t>JOSÉ ALBERTO BELTRÁN BAXIN</t>
  </si>
  <si>
    <t>SALVADOR MALDONADO ACHIRICA</t>
  </si>
  <si>
    <t>PABLO ORDOÑEZ MORA</t>
  </si>
  <si>
    <t>Tendencia de salud anual por participante</t>
  </si>
  <si>
    <t>NO APLICA</t>
  </si>
  <si>
    <t>medio</t>
  </si>
  <si>
    <t xml:space="preserve"> </t>
  </si>
  <si>
    <t>NO AYUNO</t>
  </si>
  <si>
    <t>MEDIO</t>
  </si>
  <si>
    <t>NICOLAS DE JESUS RAMIREZ ARAUZ</t>
  </si>
  <si>
    <t>ALTO</t>
  </si>
  <si>
    <t>JOSE DANIEL CONTRERAS PALMERIN</t>
  </si>
  <si>
    <t>HAS / DM</t>
  </si>
  <si>
    <t>MARIA SUSANA AGUILETA ROQUET</t>
  </si>
  <si>
    <t>GABRIEL OJEDA LOPEZ</t>
  </si>
  <si>
    <t>HAS</t>
  </si>
  <si>
    <t>DM / HAS</t>
  </si>
  <si>
    <t>DM</t>
  </si>
  <si>
    <t>FDEL JAFET PEDROZA URBAEZ</t>
  </si>
  <si>
    <t>ICC</t>
  </si>
  <si>
    <t>CUAUHTEMOC VIDALES PEREZ</t>
  </si>
  <si>
    <t>ALLAN SILVA MONTALVO</t>
  </si>
  <si>
    <t>TA ELEVADAS</t>
  </si>
  <si>
    <t>TA REACTIVA</t>
  </si>
  <si>
    <t>RESULTADO DICIEMBRE</t>
  </si>
  <si>
    <t>RESULTADO OCTUBRE</t>
  </si>
  <si>
    <t>RESULTADO SEPTIEMBRE</t>
  </si>
  <si>
    <t>RESULTADO AGOSTO</t>
  </si>
  <si>
    <t>RESULTADO JULIO</t>
  </si>
  <si>
    <t>RESULTADO JUNIO</t>
  </si>
  <si>
    <t>RESULTADO MAYO</t>
  </si>
  <si>
    <t>RESULTADO ABRIL</t>
  </si>
  <si>
    <t>RESULTADO MARZO</t>
  </si>
  <si>
    <t>RESULTADO FEBRERO</t>
  </si>
  <si>
    <t>RESULTADO ENERO</t>
  </si>
  <si>
    <t>NOMBRE / MATRICULA</t>
  </si>
  <si>
    <t>12a  TOMA</t>
  </si>
  <si>
    <t>ESTATUS</t>
  </si>
  <si>
    <t>11a  TOMA</t>
  </si>
  <si>
    <t>10a  TOMA</t>
  </si>
  <si>
    <t>9a  TOMA</t>
  </si>
  <si>
    <t>8a  TOMA</t>
  </si>
  <si>
    <t>7a  TOMA</t>
  </si>
  <si>
    <t>6a  TOMA</t>
  </si>
  <si>
    <t>5a  TOMA</t>
  </si>
  <si>
    <t>4a  TOMA</t>
  </si>
  <si>
    <t>3a  TOMA</t>
  </si>
  <si>
    <t>2a  TOMA</t>
  </si>
  <si>
    <t>1a  TOMA</t>
  </si>
  <si>
    <t>COMORBILIDAD</t>
  </si>
  <si>
    <t>C-1141</t>
  </si>
  <si>
    <t>GONZALO GUEVARA CAMPOS</t>
  </si>
  <si>
    <t>C-1405</t>
  </si>
  <si>
    <t>CESAR RODOLFO MOCTEZUMA PIMIENTA</t>
  </si>
  <si>
    <t>C-1539</t>
  </si>
  <si>
    <t>FRANCISCO MANLIO REYES MUÑOZ</t>
  </si>
  <si>
    <t>C-1595</t>
  </si>
  <si>
    <t>JULIO ALBERTO COHEN RIVAS</t>
  </si>
  <si>
    <t>C-1625</t>
  </si>
  <si>
    <t>ALEX CHACON ROSALES</t>
  </si>
  <si>
    <t>JULIO ADALBERTO COHEN RIVAS</t>
  </si>
  <si>
    <t>C-1473</t>
  </si>
  <si>
    <t>EDUARDO URBINA ABREGO</t>
  </si>
  <si>
    <t>C-1530</t>
  </si>
  <si>
    <t>CIELO RUIZ GOMEZ</t>
  </si>
  <si>
    <t>RESULTADO NOVIEMBRE</t>
  </si>
  <si>
    <t>JOSE NORBERTO ORTIZ ROBLES</t>
  </si>
  <si>
    <t xml:space="preserve">PA </t>
  </si>
  <si>
    <t>H</t>
  </si>
  <si>
    <t>89-105</t>
  </si>
  <si>
    <t>103-119</t>
  </si>
  <si>
    <t>G</t>
  </si>
  <si>
    <t>T</t>
  </si>
  <si>
    <t>C</t>
  </si>
  <si>
    <t>T/A</t>
  </si>
  <si>
    <t>110/70</t>
  </si>
  <si>
    <t>139/89</t>
  </si>
  <si>
    <t>140/90</t>
  </si>
  <si>
    <t>159/99</t>
  </si>
  <si>
    <t>160/100</t>
  </si>
  <si>
    <t>60-116</t>
  </si>
  <si>
    <t>117-160</t>
  </si>
  <si>
    <t>150-200</t>
  </si>
  <si>
    <t>201-300</t>
  </si>
  <si>
    <t>200-239</t>
  </si>
  <si>
    <t>240-349</t>
  </si>
  <si>
    <t>RAFAEL DOMINGUEZ RAMIREZ</t>
  </si>
  <si>
    <t>C-1717</t>
  </si>
  <si>
    <t>XIMENA SERRANO CARBALLO</t>
  </si>
  <si>
    <t>C-1218</t>
  </si>
  <si>
    <t>TNGSANO  2025</t>
  </si>
  <si>
    <t>C-1573</t>
  </si>
  <si>
    <t>ADRIANA ELIZABETH RODRIGUEZ FLORES</t>
  </si>
  <si>
    <t>C-1655</t>
  </si>
  <si>
    <t>ITZEL DECEANO PORTUGAL</t>
  </si>
  <si>
    <t>C-1698</t>
  </si>
  <si>
    <t>ISABEL GUZMAN ZARRABAL</t>
  </si>
  <si>
    <t>C-1729</t>
  </si>
  <si>
    <t>C-1733</t>
  </si>
  <si>
    <t>MELANY PEÑA MONTERO</t>
  </si>
  <si>
    <t>DINORA ARGELIA BENITO LLANO</t>
  </si>
  <si>
    <t>C-1834</t>
  </si>
  <si>
    <t>CITLALLY BAZAN ESPINOZA</t>
  </si>
  <si>
    <t>C-1861</t>
  </si>
  <si>
    <t>ANA SILVIA BARRERA SOTO</t>
  </si>
  <si>
    <t>G.G.</t>
  </si>
  <si>
    <t>C-1413</t>
  </si>
  <si>
    <t>CESAR FRANCISCO SALAZAR MORALES</t>
  </si>
  <si>
    <t>C-1898</t>
  </si>
  <si>
    <t>OCTAVIO PAZ TORRES DOMINGUEZ</t>
  </si>
  <si>
    <t>C-1831</t>
  </si>
  <si>
    <t>IRMA ITZEL TOBON ELVIRA</t>
  </si>
  <si>
    <t>C-1357</t>
  </si>
  <si>
    <t>FAVIO DAVID ARANO HERNANDEZ</t>
  </si>
  <si>
    <t>C-1550</t>
  </si>
  <si>
    <t>SEBASTIAN HIDALGO NITO</t>
  </si>
  <si>
    <t>C-1558</t>
  </si>
  <si>
    <t>DIEGO FABIAN MONTERO GARCIA</t>
  </si>
  <si>
    <t>C-1734</t>
  </si>
  <si>
    <t>HANNIA TORRES NICANOR</t>
  </si>
  <si>
    <t>C-1269</t>
  </si>
  <si>
    <t>RAYMUNDO FRANCISCO GONZALEZ AZAMAR</t>
  </si>
  <si>
    <t>C-1388</t>
  </si>
  <si>
    <t>LUIS JONATHAN MORALES AGUILAR</t>
  </si>
  <si>
    <t>C-1506</t>
  </si>
  <si>
    <t>OMAR ANTONIO GONZALEZ MORALES</t>
  </si>
  <si>
    <t>C-1656</t>
  </si>
  <si>
    <t>ADELA LIZETH BARRO ACEVEDO</t>
  </si>
  <si>
    <t>C-1929</t>
  </si>
  <si>
    <t>NIATZI FLORES AGUILERA</t>
  </si>
  <si>
    <t>C-1556</t>
  </si>
  <si>
    <t>C-1598</t>
  </si>
  <si>
    <t>FABIO DAVID ARANO HERNANDEZ</t>
  </si>
  <si>
    <t>Pob. Total x año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</si>
  <si>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</si>
  <si>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</si>
  <si>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</si>
  <si>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</si>
  <si>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</si>
  <si>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</si>
  <si>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</si>
  <si>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</si>
  <si>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</si>
  <si>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</si>
  <si>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t>RESULTADO DICIEMBRE 2025</t>
  </si>
  <si>
    <t>ICT</t>
  </si>
  <si>
    <t>Cumplimiento % Mayo 2026</t>
  </si>
  <si>
    <t>Cumplimiento % Abril 2026</t>
  </si>
  <si>
    <t>Cumplimiento % Junio 2026</t>
  </si>
  <si>
    <t>Cumplimiento % Marzo 2026</t>
  </si>
  <si>
    <t>Cumplimiento % Febrero 2026</t>
  </si>
  <si>
    <t>Cumplimiento % enero 2026</t>
  </si>
  <si>
    <t>TOMA INICIAL INDICADORES 2026</t>
  </si>
  <si>
    <t>Cumplimiento % Julio 2026</t>
  </si>
  <si>
    <t>Cumplimiento % Agosto 2026</t>
  </si>
  <si>
    <t>Cumplimiento % Septiembre 2026</t>
  </si>
  <si>
    <t>Cumplimiento % Octubre 2026</t>
  </si>
  <si>
    <t>Cumplimiento % Noviembre 2026</t>
  </si>
  <si>
    <t>Cumplimiento % Diciembre 2026</t>
  </si>
  <si>
    <t>SEGUIMIENTO</t>
  </si>
  <si>
    <t>PARA CUMPLIMIENTO DE META</t>
  </si>
  <si>
    <t>R.MODERADO</t>
  </si>
  <si>
    <t>R.ALTO</t>
  </si>
  <si>
    <t>C-1925</t>
  </si>
  <si>
    <t xml:space="preserve">VIOLETA TERRONES FERNANDEZ </t>
  </si>
  <si>
    <t>AYUNO</t>
  </si>
  <si>
    <t>MARZO</t>
  </si>
  <si>
    <t>AYUNO / SOLO GLUCOSA</t>
  </si>
  <si>
    <t>KARINA CRISTELL GOMEZ CRUZ</t>
  </si>
  <si>
    <t>{contrato}</t>
  </si>
  <si>
    <t>{departamento}</t>
  </si>
  <si>
    <t>{matricula}</t>
  </si>
  <si>
    <t>{nombre}</t>
  </si>
  <si>
    <t>CHECK UP - PERSONAL CONFIANZA  {currentYear}</t>
  </si>
  <si>
    <t>PESO INICIAL {currentYear}</t>
  </si>
  <si>
    <t>PESO META {currentYear}</t>
  </si>
  <si>
    <t>{fecha}</t>
  </si>
  <si>
    <t>{edad}</t>
  </si>
  <si>
    <t>{sexo}</t>
  </si>
  <si>
    <t>{cons}</t>
  </si>
  <si>
    <t>{talla}</t>
  </si>
  <si>
    <t>{peso}</t>
  </si>
  <si>
    <t>{imc}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</si>
</sst>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84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2" fontId="4" fillId="7" borderId="4" xfId="0" applyNumberFormat="1" applyFont="1" applyFill="1" applyBorder="1" applyAlignment="1">
      <alignment horizontal="center" vertical="center"/>
    </xf>
    <xf numFmtId="9" fontId="10" fillId="4" borderId="2" xfId="0" applyNumberFormat="1" applyFont="1" applyFill="1" applyBorder="1" applyAlignment="1">
      <alignment horizontal="center" vertical="center"/>
    </xf>
    <xf numFmtId="9" fontId="1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2" fontId="4" fillId="7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8" fillId="3" borderId="4" xfId="0" applyNumberFormat="1" applyFont="1" applyFill="1" applyBorder="1" applyAlignment="1">
      <alignment horizontal="center" vertical="center"/>
    </xf>
    <xf numFmtId="10" fontId="10" fillId="4" borderId="10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6" borderId="1" xfId="0" applyFill="1" applyBorder="1"/>
    <xf numFmtId="17" fontId="7" fillId="3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" fontId="7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2" fontId="4" fillId="7" borderId="10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0" fillId="0" borderId="1" xfId="0" applyBorder="1"/>
    <xf numFmtId="14" fontId="4" fillId="0" borderId="1" xfId="0" applyNumberFormat="1" applyFont="1" applyBorder="1" applyAlignment="1">
      <alignment horizontal="left" vertical="center"/>
    </xf>
    <xf numFmtId="0" fontId="0" fillId="10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9" fontId="15" fillId="0" borderId="1" xfId="0" applyNumberFormat="1" applyFont="1" applyFill="1" applyBorder="1" applyAlignment="1">
      <alignment horizontal="center" vertical="center" wrapText="1"/>
    </xf>
    <xf numFmtId="9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8" fillId="13" borderId="2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8" fillId="12" borderId="20" xfId="0" applyFont="1" applyFill="1" applyBorder="1" applyAlignment="1">
      <alignment horizontal="center"/>
    </xf>
    <xf numFmtId="0" fontId="5" fillId="13" borderId="20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16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" fillId="0" borderId="1" xfId="0" applyFont="1" applyFill="1" applyBorder="1"/>
    <xf numFmtId="0" fontId="7" fillId="11" borderId="0" xfId="0" applyFont="1" applyFill="1" applyAlignment="1">
      <alignment horizontal="center" vertical="center"/>
    </xf>
    <xf numFmtId="0" fontId="4" fillId="8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 vertical="center"/>
    </xf>
    <xf numFmtId="9" fontId="13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9" fontId="11" fillId="8" borderId="1" xfId="0" applyNumberFormat="1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/>
    <xf numFmtId="14" fontId="17" fillId="0" borderId="1" xfId="0" applyNumberFormat="1" applyFon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9" fillId="2" borderId="1" xfId="0" applyNumberFormat="1" applyFont="1" applyFill="1" applyBorder="1" applyAlignment="1">
      <alignment horizontal="center" vertical="center" wrapText="1"/>
    </xf>
    <xf numFmtId="2" fontId="3" fillId="2" borderId="7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17" fontId="7" fillId="3" borderId="8" xfId="0" applyNumberFormat="1" applyFont="1" applyFill="1" applyBorder="1" applyAlignment="1">
      <alignment horizontal="center" vertical="center" wrapText="1"/>
    </xf>
    <xf numFmtId="17" fontId="7" fillId="3" borderId="11" xfId="0" applyNumberFormat="1" applyFont="1" applyFill="1" applyBorder="1" applyAlignment="1">
      <alignment horizontal="center" vertical="center" wrapText="1"/>
    </xf>
    <xf numFmtId="17" fontId="7" fillId="3" borderId="9" xfId="0" applyNumberFormat="1" applyFont="1" applyFill="1" applyBorder="1" applyAlignment="1">
      <alignment horizontal="center" vertical="center" wrapText="1"/>
    </xf>
    <xf numFmtId="17" fontId="7" fillId="3" borderId="19" xfId="0" applyNumberFormat="1" applyFont="1" applyFill="1" applyBorder="1" applyAlignment="1">
      <alignment horizontal="center" vertical="center" wrapText="1"/>
    </xf>
    <xf numFmtId="17" fontId="7" fillId="3" borderId="13" xfId="0" applyNumberFormat="1" applyFont="1" applyFill="1" applyBorder="1" applyAlignment="1">
      <alignment horizontal="center" vertical="center" wrapText="1"/>
    </xf>
    <xf numFmtId="17" fontId="7" fillId="3" borderId="12" xfId="0" applyNumberFormat="1" applyFont="1" applyFill="1" applyBorder="1" applyAlignment="1">
      <alignment horizontal="center" vertical="center" wrapText="1"/>
    </xf>
    <xf numFmtId="164" fontId="1" fillId="5" borderId="8" xfId="0" applyNumberFormat="1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center" vertical="center"/>
    </xf>
    <xf numFmtId="164" fontId="1" fillId="5" borderId="9" xfId="0" applyNumberFormat="1" applyFont="1" applyFill="1" applyBorder="1" applyAlignment="1">
      <alignment horizontal="center" vertical="center"/>
    </xf>
    <xf numFmtId="164" fontId="1" fillId="5" borderId="19" xfId="0" applyNumberFormat="1" applyFont="1" applyFill="1" applyBorder="1" applyAlignment="1">
      <alignment horizontal="center" vertical="center"/>
    </xf>
    <xf numFmtId="164" fontId="1" fillId="5" borderId="13" xfId="0" applyNumberFormat="1" applyFont="1" applyFill="1" applyBorder="1" applyAlignment="1">
      <alignment horizontal="center" vertical="center"/>
    </xf>
    <xf numFmtId="164" fontId="1" fillId="5" borderId="12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20" fillId="13" borderId="27" xfId="0" applyFont="1" applyFill="1" applyBorder="1" applyAlignment="1">
      <alignment horizontal="center" vertical="center"/>
    </xf>
    <xf numFmtId="0" fontId="20" fillId="13" borderId="21" xfId="0" applyFont="1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/>
    </xf>
    <xf numFmtId="0" fontId="20" fillId="12" borderId="21" xfId="0" applyFont="1" applyFill="1" applyBorder="1" applyAlignment="1">
      <alignment horizontal="center" vertical="center"/>
    </xf>
    <xf numFmtId="0" fontId="0" fillId="15" borderId="23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13" borderId="27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21" fillId="15" borderId="29" xfId="0" applyFont="1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0" fillId="15" borderId="26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15" fillId="10" borderId="27" xfId="0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8" fillId="14" borderId="27" xfId="0" applyFont="1" applyFill="1" applyBorder="1" applyAlignment="1">
      <alignment horizontal="center" vertical="center"/>
    </xf>
    <xf numFmtId="0" fontId="18" fillId="14" borderId="24" xfId="0" applyFont="1" applyFill="1" applyBorder="1" applyAlignment="1">
      <alignment horizontal="center" vertical="center"/>
    </xf>
    <xf numFmtId="0" fontId="18" fillId="14" borderId="21" xfId="0" applyFont="1" applyFill="1" applyBorder="1" applyAlignment="1">
      <alignment horizontal="center" vertical="center"/>
    </xf>
    <xf numFmtId="0" fontId="19" fillId="13" borderId="27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1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F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auto="1"/>
      </font>
    </dxf>
    <dxf>
      <font>
        <b val="0"/>
        <i/>
        <color rgb="FFFF0000"/>
      </font>
    </dxf>
    <dxf>
      <font>
        <b val="0"/>
        <i/>
        <color rgb="FFFF0000"/>
      </font>
    </dxf>
    <dxf>
      <font>
        <b val="0"/>
        <i/>
        <color rgb="FFFF0000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FF"/>
        </patternFill>
      </fill>
    </dxf>
    <dxf>
      <fill>
        <patternFill>
          <bgColor rgb="FF66FFFF"/>
        </patternFill>
      </fill>
    </dxf>
    <dxf>
      <fill>
        <patternFill>
          <bgColor rgb="FF00FFFF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strike val="0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rgb="FF0070C0"/>
      </font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strike val="0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rgb="FF0070C0"/>
      </font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strike val="0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rgb="FF0070C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 patternType="gray0625"/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b val="0"/>
        <i/>
        <color theme="5"/>
      </font>
      <fill>
        <gradientFill degree="45">
          <stop position="0">
            <color theme="0"/>
          </stop>
          <stop position="1">
            <color theme="0" tint="-0.25098422193060094"/>
          </stop>
        </gradient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b val="0"/>
        <i/>
        <color theme="5"/>
      </font>
      <fill>
        <gradientFill degree="45">
          <stop position="0">
            <color theme="0"/>
          </stop>
          <stop position="1">
            <color theme="0" tint="-0.25098422193060094"/>
          </stop>
        </gradientFill>
      </fill>
    </dxf>
    <dxf>
      <font>
        <b/>
        <i/>
        <color theme="5" tint="-0.24994659260841701"/>
      </font>
      <fill>
        <gradientFill degree="45">
          <stop position="0">
            <color theme="0"/>
          </stop>
          <stop position="0.5">
            <color theme="0" tint="-0.25098422193060094"/>
          </stop>
          <stop position="1">
            <color theme="0"/>
          </stop>
        </gradient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CC9900"/>
        </patternFill>
      </fill>
    </dxf>
    <dxf>
      <fill>
        <patternFill>
          <bgColor rgb="FFCC66FF"/>
        </patternFill>
      </fill>
    </dxf>
    <dxf>
      <fill>
        <patternFill>
          <bgColor rgb="FFCCFF9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5050"/>
      <color rgb="FFFF99CC"/>
      <color rgb="FFCC66FF"/>
      <color rgb="FF66FFFF"/>
      <color rgb="FF00FF00"/>
      <color rgb="FFCCFF99"/>
      <color rgb="FFCC9900"/>
      <color rgb="FF8080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Población</a:t>
            </a:r>
            <a:r>
              <a:rPr lang="es-MX" baseline="0"/>
              <a:t> TNG SANO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'Gráficas TNG Sano'!$B$1</c:f>
              <c:strCache>
                <c:ptCount val="1"/>
                <c:pt idx="0">
                  <c:v>PLANTA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'Gráficas TNG Sano'!$B$2:$B$11</c:f>
              <c:numCache>
                <c:formatCode>General</c:formatCode>
                <c:ptCount val="10"/>
                <c:pt idx="0">
                  <c:v>193</c:v>
                </c:pt>
                <c:pt idx="1">
                  <c:v>173</c:v>
                </c:pt>
                <c:pt idx="2">
                  <c:v>153</c:v>
                </c:pt>
                <c:pt idx="3">
                  <c:v>149</c:v>
                </c:pt>
                <c:pt idx="4">
                  <c:v>136</c:v>
                </c:pt>
                <c:pt idx="5">
                  <c:v>135</c:v>
                </c:pt>
                <c:pt idx="6">
                  <c:v>125</c:v>
                </c:pt>
                <c:pt idx="7">
                  <c:v>120</c:v>
                </c:pt>
                <c:pt idx="8">
                  <c:v>128</c:v>
                </c:pt>
                <c:pt idx="9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2-4F9F-84B1-94177E0282E2}"/>
            </c:ext>
          </c:extLst>
        </c:ser>
        <c:ser>
          <c:idx val="1"/>
          <c:order val="1"/>
          <c:tx>
            <c:strRef>
              <c:f>'Gráficas TNG Sano'!$C$1</c:f>
              <c:strCache>
                <c:ptCount val="1"/>
                <c:pt idx="0">
                  <c:v>DOE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'Gráficas TNG Sano'!$C$2:$C$11</c:f>
              <c:numCache>
                <c:formatCode>General</c:formatCode>
                <c:ptCount val="10"/>
                <c:pt idx="0">
                  <c:v>20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11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2-4F9F-84B1-94177E028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76987040"/>
        <c:axId val="-676996832"/>
      </c:lineChart>
      <c:catAx>
        <c:axId val="-67698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6832"/>
        <c:crosses val="autoZero"/>
        <c:auto val="1"/>
        <c:lblAlgn val="ctr"/>
        <c:lblOffset val="100"/>
        <c:noMultiLvlLbl val="0"/>
      </c:catAx>
      <c:valAx>
        <c:axId val="-6769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  estatus de salud TNG SANO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'Gráficas TNG Sano'!$B$14</c:f>
              <c:strCache>
                <c:ptCount val="1"/>
                <c:pt idx="0">
                  <c:v>SANOS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Sano'!$A$16:$A$24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'Gráficas TNG Sano'!$B$16:$B$24</c:f>
              <c:numCache>
                <c:formatCode>General</c:formatCode>
                <c:ptCount val="9"/>
                <c:pt idx="0">
                  <c:v>49</c:v>
                </c:pt>
                <c:pt idx="1">
                  <c:v>44</c:v>
                </c:pt>
                <c:pt idx="2">
                  <c:v>31</c:v>
                </c:pt>
                <c:pt idx="3">
                  <c:v>36</c:v>
                </c:pt>
                <c:pt idx="4">
                  <c:v>39</c:v>
                </c:pt>
                <c:pt idx="5">
                  <c:v>62</c:v>
                </c:pt>
                <c:pt idx="6">
                  <c:v>59</c:v>
                </c:pt>
                <c:pt idx="7">
                  <c:v>53</c:v>
                </c:pt>
                <c:pt idx="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4-459F-8028-FC432D2C0C8F}"/>
            </c:ext>
          </c:extLst>
        </c:ser>
        <c:ser>
          <c:idx val="1"/>
          <c:order val="1"/>
          <c:tx>
            <c:strRef>
              <c:f>'Gráficas TNG Sano'!$C$14</c:f>
              <c:strCache>
                <c:ptCount val="1"/>
                <c:pt idx="0">
                  <c:v>R. MODERADO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Sano'!$A$16:$A$24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'Gráficas TNG Sano'!$C$16:$C$24</c:f>
              <c:numCache>
                <c:formatCode>General</c:formatCode>
                <c:ptCount val="9"/>
                <c:pt idx="0">
                  <c:v>59</c:v>
                </c:pt>
                <c:pt idx="1">
                  <c:v>38</c:v>
                </c:pt>
                <c:pt idx="2">
                  <c:v>46</c:v>
                </c:pt>
                <c:pt idx="3">
                  <c:v>31</c:v>
                </c:pt>
                <c:pt idx="4">
                  <c:v>44</c:v>
                </c:pt>
                <c:pt idx="5">
                  <c:v>35</c:v>
                </c:pt>
                <c:pt idx="6">
                  <c:v>33</c:v>
                </c:pt>
                <c:pt idx="7">
                  <c:v>33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4-459F-8028-FC432D2C0C8F}"/>
            </c:ext>
          </c:extLst>
        </c:ser>
        <c:ser>
          <c:idx val="2"/>
          <c:order val="2"/>
          <c:tx>
            <c:strRef>
              <c:f>'Gráficas TNG Sano'!$D$14</c:f>
              <c:strCache>
                <c:ptCount val="1"/>
                <c:pt idx="0">
                  <c:v>R. ALTO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Sano'!$A$16:$A$24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'Gráficas TNG Sano'!$D$16:$D$24</c:f>
              <c:numCache>
                <c:formatCode>General</c:formatCode>
                <c:ptCount val="9"/>
                <c:pt idx="0">
                  <c:v>54</c:v>
                </c:pt>
                <c:pt idx="1">
                  <c:v>49</c:v>
                </c:pt>
                <c:pt idx="2">
                  <c:v>48</c:v>
                </c:pt>
                <c:pt idx="3">
                  <c:v>49</c:v>
                </c:pt>
                <c:pt idx="4">
                  <c:v>49</c:v>
                </c:pt>
                <c:pt idx="5">
                  <c:v>22</c:v>
                </c:pt>
                <c:pt idx="6">
                  <c:v>20</c:v>
                </c:pt>
                <c:pt idx="7">
                  <c:v>20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A4-459F-8028-FC432D2C0C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676997376"/>
        <c:axId val="-676992480"/>
      </c:lineChart>
      <c:catAx>
        <c:axId val="-6769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2480"/>
        <c:crosses val="autoZero"/>
        <c:auto val="1"/>
        <c:lblAlgn val="ctr"/>
        <c:lblOffset val="100"/>
        <c:noMultiLvlLbl val="0"/>
      </c:catAx>
      <c:valAx>
        <c:axId val="-6769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ausencias</a:t>
            </a:r>
            <a:r>
              <a:rPr lang="en-US" baseline="0"/>
              <a:t> planta TNG SANO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'Gráficas TNG Sano'!$E$14</c:f>
              <c:strCache>
                <c:ptCount val="1"/>
                <c:pt idx="0">
                  <c:v>AUSENCIAS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Sano'!$A$15:$A$24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'Gráficas TNG Sano'!$E$15:$E$24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24</c:v>
                </c:pt>
                <c:pt idx="4">
                  <c:v>20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22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1-4188-B18B-9013BAF1F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6991392"/>
        <c:axId val="-676990848"/>
      </c:lineChart>
      <c:catAx>
        <c:axId val="-6769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0848"/>
        <c:crosses val="autoZero"/>
        <c:auto val="1"/>
        <c:lblAlgn val="ctr"/>
        <c:lblOffset val="100"/>
        <c:noMultiLvlLbl val="0"/>
      </c:catAx>
      <c:valAx>
        <c:axId val="-67699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Tendencia estatus</a:t>
            </a:r>
            <a:r>
              <a:rPr lang="en-US" baseline="0"/>
              <a:t> de salud TNG SANO DOE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'Gráficas TNG Sano'!$B$28</c:f>
              <c:strCache>
                <c:ptCount val="1"/>
                <c:pt idx="0">
                  <c:v>SANOS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Sano'!$A$29:$A$38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'Gráficas TNG Sano'!$B$29:$B$38</c:f>
              <c:numCache>
                <c:formatCode>General</c:formatCode>
                <c:ptCount val="10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0-4166-8CFA-138DB90E4F41}"/>
            </c:ext>
          </c:extLst>
        </c:ser>
        <c:ser>
          <c:idx val="1"/>
          <c:order val="1"/>
          <c:tx>
            <c:strRef>
              <c:f>'Gráficas TNG Sano'!$C$28</c:f>
              <c:strCache>
                <c:ptCount val="1"/>
                <c:pt idx="0">
                  <c:v>R. MODERADO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Sano'!$A$29:$A$38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'Gráficas TNG Sano'!$C$29:$C$38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0-4166-8CFA-138DB90E4F41}"/>
            </c:ext>
          </c:extLst>
        </c:ser>
        <c:ser>
          <c:idx val="2"/>
          <c:order val="2"/>
          <c:tx>
            <c:strRef>
              <c:f>'Gráficas TNG Sano'!$D$28</c:f>
              <c:strCache>
                <c:ptCount val="1"/>
                <c:pt idx="0">
                  <c:v>R. ALTO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Sano'!$A$29:$A$38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'Gráficas TNG Sano'!$D$29:$D$38</c:f>
              <c:numCache>
                <c:formatCode>General</c:formatCode>
                <c:ptCount val="10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0-4166-8CFA-138DB90E4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6990304"/>
        <c:axId val="-676989760"/>
      </c:lineChart>
      <c:catAx>
        <c:axId val="-67699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89760"/>
        <c:crosses val="autoZero"/>
        <c:auto val="1"/>
        <c:lblAlgn val="ctr"/>
        <c:lblOffset val="100"/>
        <c:noMultiLvlLbl val="0"/>
      </c:catAx>
      <c:valAx>
        <c:axId val="-67698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ausencias DOE TNG SANO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'Gráficas TNG Sano'!$E$28</c:f>
              <c:strCache>
                <c:ptCount val="1"/>
                <c:pt idx="0">
                  <c:v>AUSENCIAS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Sano'!$A$29:$A$38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'Gráficas TNG Sano'!$E$29:$E$38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C-4CBC-AC4B-423F63A8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6989216"/>
        <c:axId val="-676997920"/>
      </c:lineChart>
      <c:catAx>
        <c:axId val="-67698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7920"/>
        <c:crosses val="autoZero"/>
        <c:auto val="1"/>
        <c:lblAlgn val="ctr"/>
        <c:lblOffset val="100"/>
        <c:noMultiLvlLbl val="0"/>
      </c:catAx>
      <c:valAx>
        <c:axId val="-6769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 TNG SANO (Planta</a:t>
            </a:r>
            <a:r>
              <a:rPr lang="es-MX" baseline="0"/>
              <a:t> + DOE)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'Gráficas TNG Sano'!$B$42</c:f>
              <c:strCache>
                <c:ptCount val="1"/>
                <c:pt idx="0">
                  <c:v>SANOS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Sano'!$A$44:$A$52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'Gráficas TNG Sano'!$B$44:$B$52</c:f>
              <c:numCache>
                <c:formatCode>General</c:formatCode>
                <c:ptCount val="9"/>
                <c:pt idx="0">
                  <c:v>50</c:v>
                </c:pt>
                <c:pt idx="1">
                  <c:v>47</c:v>
                </c:pt>
                <c:pt idx="2">
                  <c:v>33</c:v>
                </c:pt>
                <c:pt idx="3">
                  <c:v>38</c:v>
                </c:pt>
                <c:pt idx="4">
                  <c:v>41</c:v>
                </c:pt>
                <c:pt idx="5">
                  <c:v>70</c:v>
                </c:pt>
                <c:pt idx="6">
                  <c:v>67</c:v>
                </c:pt>
                <c:pt idx="7">
                  <c:v>57</c:v>
                </c:pt>
                <c:pt idx="8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B-41CD-A996-4549103E6E42}"/>
            </c:ext>
          </c:extLst>
        </c:ser>
        <c:ser>
          <c:idx val="1"/>
          <c:order val="1"/>
          <c:tx>
            <c:strRef>
              <c:f>'Gráficas TNG Sano'!$C$42</c:f>
              <c:strCache>
                <c:ptCount val="1"/>
                <c:pt idx="0">
                  <c:v>R. MODERADO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Sano'!$A$44:$A$52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'Gráficas TNG Sano'!$C$44:$C$52</c:f>
              <c:numCache>
                <c:formatCode>General</c:formatCode>
                <c:ptCount val="9"/>
                <c:pt idx="0">
                  <c:v>63</c:v>
                </c:pt>
                <c:pt idx="1">
                  <c:v>41</c:v>
                </c:pt>
                <c:pt idx="2">
                  <c:v>48</c:v>
                </c:pt>
                <c:pt idx="3">
                  <c:v>37</c:v>
                </c:pt>
                <c:pt idx="4">
                  <c:v>47</c:v>
                </c:pt>
                <c:pt idx="5">
                  <c:v>37</c:v>
                </c:pt>
                <c:pt idx="6">
                  <c:v>34</c:v>
                </c:pt>
                <c:pt idx="7">
                  <c:v>33</c:v>
                </c:pt>
                <c:pt idx="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B-41CD-A996-4549103E6E42}"/>
            </c:ext>
          </c:extLst>
        </c:ser>
        <c:ser>
          <c:idx val="2"/>
          <c:order val="2"/>
          <c:tx>
            <c:strRef>
              <c:f>'Gráficas TNG Sano'!$D$42</c:f>
              <c:strCache>
                <c:ptCount val="1"/>
                <c:pt idx="0">
                  <c:v>R. ALTO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Sano'!$A$44:$A$52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'Gráficas TNG Sano'!$D$44:$D$52</c:f>
              <c:numCache>
                <c:formatCode>General</c:formatCode>
                <c:ptCount val="9"/>
                <c:pt idx="0">
                  <c:v>55</c:v>
                </c:pt>
                <c:pt idx="1">
                  <c:v>51</c:v>
                </c:pt>
                <c:pt idx="2">
                  <c:v>49</c:v>
                </c:pt>
                <c:pt idx="3">
                  <c:v>52</c:v>
                </c:pt>
                <c:pt idx="4">
                  <c:v>53</c:v>
                </c:pt>
                <c:pt idx="5">
                  <c:v>24</c:v>
                </c:pt>
                <c:pt idx="6">
                  <c:v>21</c:v>
                </c:pt>
                <c:pt idx="7">
                  <c:v>21</c:v>
                </c:pt>
                <c:pt idx="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2B-41CD-A996-4549103E6E42}"/>
            </c:ext>
          </c:extLst>
        </c:ser>
        <c:ser>
          <c:idx val="3"/>
          <c:order val="3"/>
          <c:tx>
            <c:strRef>
              <c:f>'Gráficas TNG Sano'!$E$42</c:f>
              <c:strCache>
                <c:ptCount val="1"/>
                <c:pt idx="0">
                  <c:v>AUSENCIAS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'Gráficas TNG Sano'!$A$44:$A$52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'Gráficas TNG Sano'!$E$44:$E$52</c:f>
              <c:numCache>
                <c:formatCode>General</c:formatCode>
                <c:ptCount val="9"/>
                <c:pt idx="0">
                  <c:v>11</c:v>
                </c:pt>
                <c:pt idx="1">
                  <c:v>22</c:v>
                </c:pt>
                <c:pt idx="2">
                  <c:v>25</c:v>
                </c:pt>
                <c:pt idx="3">
                  <c:v>20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23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2B-41CD-A996-4549103E6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77001728"/>
        <c:axId val="-676999008"/>
      </c:lineChart>
      <c:catAx>
        <c:axId val="-67700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6999008"/>
        <c:crosses val="autoZero"/>
        <c:auto val="1"/>
        <c:lblAlgn val="ctr"/>
        <c:lblOffset val="100"/>
        <c:noMultiLvlLbl val="0"/>
      </c:catAx>
      <c:valAx>
        <c:axId val="-6769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7700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</a:p>
        </c:rich>
      </c:tx>
      <c:layout>
        <c:manualLayout>
          <c:xMode val="edge"/>
          <c:yMode val="edge"/>
          <c:x val="0.4522499999999999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'Gráficas TNG Sano'!$S$42</c:f>
              <c:strCache>
                <c:ptCount val="1"/>
                <c:pt idx="0">
                  <c:v>SANOS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TNG Sano'!$R$43:$R$53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</c:strCache>
            </c:strRef>
          </c:cat>
          <c:val>
            <c:numRef>
              <c:f>'Gráficas TNG Sano'!$S$43:$S$53</c:f>
              <c:numCache>
                <c:formatCode>General</c:formatCode>
                <c:ptCount val="11"/>
                <c:pt idx="0">
                  <c:v>28</c:v>
                </c:pt>
                <c:pt idx="1">
                  <c:v>32</c:v>
                </c:pt>
                <c:pt idx="2">
                  <c:v>41</c:v>
                </c:pt>
                <c:pt idx="3">
                  <c:v>45</c:v>
                </c:pt>
                <c:pt idx="4">
                  <c:v>54</c:v>
                </c:pt>
                <c:pt idx="5">
                  <c:v>48</c:v>
                </c:pt>
                <c:pt idx="6">
                  <c:v>51</c:v>
                </c:pt>
                <c:pt idx="7">
                  <c:v>52</c:v>
                </c:pt>
                <c:pt idx="8">
                  <c:v>56</c:v>
                </c:pt>
                <c:pt idx="9">
                  <c:v>60</c:v>
                </c:pt>
                <c:pt idx="1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7-49C2-A207-2B573B726DF0}"/>
            </c:ext>
          </c:extLst>
        </c:ser>
        <c:ser>
          <c:idx val="1"/>
          <c:order val="1"/>
          <c:tx>
            <c:strRef>
              <c:f>'Gráficas TNG Sano'!$T$42</c:f>
              <c:strCache>
                <c:ptCount val="1"/>
                <c:pt idx="0">
                  <c:v>R. MODERADO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TNG Sano'!$R$43:$R$53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</c:strCache>
            </c:strRef>
          </c:cat>
          <c:val>
            <c:numRef>
              <c:f>'Gráficas TNG Sano'!$T$43:$T$53</c:f>
              <c:numCache>
                <c:formatCode>General</c:formatCode>
                <c:ptCount val="11"/>
                <c:pt idx="0">
                  <c:v>18</c:v>
                </c:pt>
                <c:pt idx="1">
                  <c:v>20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34</c:v>
                </c:pt>
                <c:pt idx="6">
                  <c:v>30</c:v>
                </c:pt>
                <c:pt idx="7">
                  <c:v>27</c:v>
                </c:pt>
                <c:pt idx="8">
                  <c:v>30</c:v>
                </c:pt>
                <c:pt idx="9">
                  <c:v>28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7-49C2-A207-2B573B726DF0}"/>
            </c:ext>
          </c:extLst>
        </c:ser>
        <c:ser>
          <c:idx val="2"/>
          <c:order val="2"/>
          <c:tx>
            <c:strRef>
              <c:f>'Gráficas TNG Sano'!$U$42</c:f>
              <c:strCache>
                <c:ptCount val="1"/>
                <c:pt idx="0">
                  <c:v>R. ALTO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TNG Sano'!$R$43:$R$53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</c:strCache>
            </c:strRef>
          </c:cat>
          <c:val>
            <c:numRef>
              <c:f>'Gráficas TNG Sano'!$U$43:$U$53</c:f>
              <c:numCache>
                <c:formatCode>General</c:formatCode>
                <c:ptCount val="11"/>
                <c:pt idx="0">
                  <c:v>11</c:v>
                </c:pt>
                <c:pt idx="1">
                  <c:v>12</c:v>
                </c:pt>
                <c:pt idx="2">
                  <c:v>42</c:v>
                </c:pt>
                <c:pt idx="3">
                  <c:v>42</c:v>
                </c:pt>
                <c:pt idx="4">
                  <c:v>39</c:v>
                </c:pt>
                <c:pt idx="5">
                  <c:v>40</c:v>
                </c:pt>
                <c:pt idx="6">
                  <c:v>45</c:v>
                </c:pt>
                <c:pt idx="7">
                  <c:v>47</c:v>
                </c:pt>
                <c:pt idx="8">
                  <c:v>44</c:v>
                </c:pt>
                <c:pt idx="9">
                  <c:v>43</c:v>
                </c:pt>
                <c:pt idx="1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7-49C2-A207-2B573B726DF0}"/>
            </c:ext>
          </c:extLst>
        </c:ser>
        <c:ser>
          <c:idx val="3"/>
          <c:order val="3"/>
          <c:tx>
            <c:strRef>
              <c:f>'Gráficas TNG Sano'!$V$42</c:f>
              <c:strCache>
                <c:ptCount val="1"/>
                <c:pt idx="0">
                  <c:v>AUSENCIAS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TNG Sano'!$R$43:$R$53</c:f>
              <c:strCache>
                <c:ptCount val="11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</c:strCache>
            </c:strRef>
          </c:cat>
          <c:val>
            <c:numRef>
              <c:f>'Gráficas TNG Sano'!$V$43:$V$53</c:f>
              <c:numCache>
                <c:formatCode>General</c:formatCode>
                <c:ptCount val="11"/>
                <c:pt idx="0">
                  <c:v>68</c:v>
                </c:pt>
                <c:pt idx="1">
                  <c:v>61</c:v>
                </c:pt>
                <c:pt idx="2">
                  <c:v>13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F7-49C2-A207-2B573B726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01056"/>
        <c:axId val="192087744"/>
      </c:barChart>
      <c:catAx>
        <c:axId val="1921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087744"/>
        <c:crosses val="autoZero"/>
        <c:auto val="1"/>
        <c:lblAlgn val="ctr"/>
        <c:lblOffset val="100"/>
        <c:noMultiLvlLbl val="0"/>
      </c:catAx>
      <c:valAx>
        <c:axId val="1920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10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0</xdr:row>
      <xdr:rowOff>90487</xdr:rowOff>
    </xdr:from>
    <xdr:to>
      <xdr:col>13</xdr:col>
      <xdr:colOff>333374</xdr:colOff>
      <xdr:row>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89039D-B58B-48DC-84E9-4578FE3B5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12</xdr:row>
      <xdr:rowOff>28575</xdr:rowOff>
    </xdr:from>
    <xdr:to>
      <xdr:col>15</xdr:col>
      <xdr:colOff>695324</xdr:colOff>
      <xdr:row>22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B6E886-F9F5-450D-AE20-D9616BA0A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142875</xdr:colOff>
      <xdr:row>12</xdr:row>
      <xdr:rowOff>38099</xdr:rowOff>
    </xdr:from>
    <xdr:to>
      <xdr:col>22</xdr:col>
      <xdr:colOff>400050</xdr:colOff>
      <xdr:row>22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E007F5-D990-4DC2-A4A5-2BE2FD608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133351</xdr:colOff>
      <xdr:row>25</xdr:row>
      <xdr:rowOff>147637</xdr:rowOff>
    </xdr:from>
    <xdr:to>
      <xdr:col>15</xdr:col>
      <xdr:colOff>752475</xdr:colOff>
      <xdr:row>36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7570D8-8F0E-400D-9242-8B8149FC3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190500</xdr:colOff>
      <xdr:row>26</xdr:row>
      <xdr:rowOff>4762</xdr:rowOff>
    </xdr:from>
    <xdr:to>
      <xdr:col>22</xdr:col>
      <xdr:colOff>190500</xdr:colOff>
      <xdr:row>36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E5F2DDE-2E27-4F66-9B34-ABE01856F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114301</xdr:colOff>
      <xdr:row>40</xdr:row>
      <xdr:rowOff>4762</xdr:rowOff>
    </xdr:from>
    <xdr:to>
      <xdr:col>16</xdr:col>
      <xdr:colOff>238125</xdr:colOff>
      <xdr:row>50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2D126E9-AE4F-4432-9FB4-1ED1E1B99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381001</xdr:colOff>
      <xdr:row>54</xdr:row>
      <xdr:rowOff>90486</xdr:rowOff>
    </xdr:from>
    <xdr:to>
      <xdr:col>24</xdr:col>
      <xdr:colOff>752475</xdr:colOff>
      <xdr:row>72</xdr:row>
      <xdr:rowOff>85725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2EE3047-FE86-4351-B6E5-643115AFE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ano.alma/Desktop/TNG%20SANO%20-%20CHECK%20UP%20%202024%20AG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o"/>
      <sheetName val="gráficas TNG sano"/>
      <sheetName val="Tendencia x participante"/>
      <sheetName val="Hoja1"/>
      <sheetName val="GENERAL 2024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5322-4E07-4E19-9E4F-5123184F79BC}">
  <dimension ref="A1:FV25"/>
  <sheetViews>
    <sheetView tabSelected="1" zoomScaleNormal="100" workbookViewId="0">
      <pane ySplit="4" topLeftCell="A5" activePane="bottomLeft" state="frozen"/>
      <selection activeCell="D1" sqref="D1"/>
      <selection pane="bottomLeft" activeCell="E5" sqref="E5"/>
    </sheetView>
  </sheetViews>
  <sheetFormatPr baseColWidth="10" defaultRowHeight="15" x14ac:dyDescent="0.25"/>
  <cols>
    <col min="1" max="1" width="5" customWidth="1"/>
    <col min="2" max="2" width="12" style="10" customWidth="1"/>
    <col min="3" max="3" width="20.28515625" style="10" customWidth="1"/>
    <col min="4" max="4" width="11.42578125" style="10" customWidth="1"/>
    <col min="5" max="5" width="38.85546875" style="3" customWidth="1"/>
    <col min="6" max="6" width="11.7109375" style="4" customWidth="1"/>
    <col min="7" max="8" width="6.7109375" style="4" customWidth="1"/>
    <col min="9" max="9" width="8.42578125" style="4" customWidth="1"/>
    <col min="10" max="10" width="7.5703125" style="4" customWidth="1"/>
    <col min="11" max="11" width="7.140625" style="4" customWidth="1"/>
    <col min="12" max="12" width="8.85546875" style="6" customWidth="1"/>
    <col min="13" max="13" width="17.85546875" style="6" customWidth="1"/>
    <col min="14" max="14" width="13.7109375" style="32" customWidth="1"/>
    <col min="15" max="15" width="9.42578125" style="6" customWidth="1"/>
    <col min="16" max="17" width="11.85546875" style="6" customWidth="1"/>
    <col min="18" max="20" width="7.140625" style="4" customWidth="1"/>
    <col min="21" max="21" width="10.42578125" style="4" customWidth="1"/>
    <col min="22" max="22" width="11.42578125" style="4" customWidth="1"/>
    <col min="23" max="23" width="13" style="4" customWidth="1"/>
    <col min="24" max="24" width="10.42578125" style="4" customWidth="1"/>
    <col min="25" max="25" width="11.42578125" style="4" customWidth="1"/>
    <col min="26" max="26" width="12.42578125" customWidth="1"/>
    <col min="27" max="28" width="11.42578125" style="12" customWidth="1"/>
    <col min="29" max="29" width="15.28515625" style="12" customWidth="1"/>
    <col min="30" max="30" width="11.42578125" style="12" customWidth="1"/>
    <col min="31" max="31" width="11.42578125" customWidth="1"/>
    <col min="32" max="32" width="11.28515625" customWidth="1"/>
    <col min="33" max="33" width="10.140625" customWidth="1"/>
    <col min="34" max="34" width="11.85546875" customWidth="1"/>
    <col min="35" max="36" width="10.140625" customWidth="1"/>
    <col min="37" max="37" width="9.85546875" customWidth="1"/>
    <col min="38" max="39" width="11.42578125" style="25" customWidth="1"/>
    <col min="40" max="40" width="14.140625" style="25" customWidth="1"/>
    <col min="41" max="41" width="14.140625" style="120" customWidth="1"/>
    <col min="42" max="42" width="14.140625" style="25" customWidth="1"/>
    <col min="43" max="43" width="16" style="12" customWidth="1"/>
    <col min="44" max="44" width="11.42578125" style="12" customWidth="1"/>
    <col min="45" max="51" width="11.42578125" style="25" customWidth="1"/>
    <col min="52" max="52" width="11.42578125" customWidth="1"/>
    <col min="53" max="53" width="11.42578125" style="35" customWidth="1"/>
    <col min="54" max="54" width="12.28515625" style="25" customWidth="1"/>
    <col min="55" max="55" width="12.28515625" style="120" customWidth="1"/>
    <col min="56" max="56" width="14.140625" style="25" customWidth="1"/>
    <col min="57" max="57" width="18.28515625" style="12" customWidth="1"/>
    <col min="58" max="58" width="11.42578125" style="12" customWidth="1"/>
    <col min="59" max="65" width="11.42578125" style="25" customWidth="1"/>
    <col min="66" max="66" width="11.42578125" customWidth="1"/>
    <col min="67" max="70" width="11.42578125" style="25" customWidth="1"/>
    <col min="71" max="71" width="15.28515625" style="12" customWidth="1"/>
    <col min="72" max="72" width="11.42578125" style="12" customWidth="1"/>
    <col min="73" max="73" width="11.42578125" style="25" customWidth="1"/>
    <col min="74" max="74" width="9.7109375" style="25" customWidth="1"/>
    <col min="75" max="78" width="11.42578125" style="25" customWidth="1"/>
    <col min="79" max="79" width="12.42578125" style="25" customWidth="1"/>
    <col min="80" max="80" width="11.42578125" customWidth="1"/>
    <col min="81" max="84" width="11.42578125" style="25" customWidth="1"/>
    <col min="85" max="85" width="15.28515625" style="12" customWidth="1"/>
    <col min="86" max="86" width="11.42578125" style="12" customWidth="1"/>
    <col min="87" max="93" width="11.42578125" style="25" customWidth="1"/>
    <col min="94" max="94" width="11.42578125" customWidth="1"/>
    <col min="95" max="96" width="11.42578125" style="25" customWidth="1"/>
    <col min="97" max="97" width="15.28515625" style="12" customWidth="1"/>
    <col min="98" max="98" width="11.42578125" style="12" customWidth="1"/>
    <col min="99" max="105" width="11.42578125" style="25" customWidth="1"/>
    <col min="106" max="106" width="11.42578125" customWidth="1"/>
    <col min="107" max="108" width="11.42578125" style="25" customWidth="1"/>
    <col min="109" max="109" width="15.28515625" style="12" customWidth="1"/>
    <col min="110" max="110" width="12.42578125" style="12" customWidth="1"/>
    <col min="111" max="117" width="11.42578125" style="25" customWidth="1"/>
    <col min="118" max="118" width="11.42578125" customWidth="1"/>
    <col min="119" max="120" width="11.42578125" style="25" customWidth="1"/>
    <col min="121" max="121" width="15.28515625" style="12" customWidth="1"/>
    <col min="122" max="122" width="11.42578125" style="12" customWidth="1"/>
    <col min="123" max="128" width="11.42578125" style="25" customWidth="1"/>
    <col min="129" max="129" width="12.140625" style="25" customWidth="1"/>
    <col min="130" max="130" width="11.42578125" customWidth="1"/>
    <col min="131" max="132" width="11.42578125" style="25" customWidth="1"/>
    <col min="133" max="133" width="15.28515625" style="12" customWidth="1"/>
    <col min="134" max="134" width="11.42578125" style="12" customWidth="1"/>
    <col min="135" max="141" width="11.42578125" style="25" customWidth="1"/>
    <col min="142" max="142" width="11.42578125" customWidth="1"/>
    <col min="143" max="144" width="11.42578125" style="25" customWidth="1"/>
    <col min="145" max="145" width="15.28515625" style="12" customWidth="1"/>
    <col min="146" max="146" width="11.42578125" style="12" customWidth="1"/>
    <col min="147" max="153" width="11.42578125" style="25" customWidth="1"/>
    <col min="154" max="154" width="11.42578125" customWidth="1"/>
    <col min="155" max="156" width="11.42578125" style="25" customWidth="1"/>
    <col min="157" max="157" width="15.28515625" style="12" customWidth="1"/>
    <col min="158" max="158" width="11.42578125" style="12" customWidth="1"/>
    <col min="159" max="165" width="11.42578125" style="25" customWidth="1"/>
    <col min="166" max="166" width="11.42578125" customWidth="1"/>
    <col min="167" max="168" width="11.42578125" style="25" customWidth="1"/>
    <col min="169" max="169" width="15.28515625" style="12" customWidth="1"/>
    <col min="170" max="170" width="11.42578125" style="12" customWidth="1"/>
    <col min="171" max="177" width="11.42578125" style="25" customWidth="1"/>
    <col min="178" max="178" width="11.42578125" customWidth="1"/>
    <col min="179" max="179" width="11.5703125" customWidth="1"/>
  </cols>
  <sheetData>
    <row r="1" spans="1:178" x14ac:dyDescent="0.25">
      <c r="B1" s="148" t="s">
        <v>466</v>
      </c>
      <c r="C1" s="148"/>
      <c r="D1" s="148"/>
      <c r="E1" s="148"/>
      <c r="F1" s="148"/>
      <c r="G1" s="148"/>
      <c r="H1" s="148"/>
      <c r="I1" s="148"/>
      <c r="J1" s="148"/>
      <c r="K1" s="150" t="s">
        <v>452</v>
      </c>
      <c r="L1" s="150"/>
      <c r="M1" s="150"/>
      <c r="N1" s="150"/>
      <c r="O1" s="150"/>
      <c r="P1" s="150"/>
      <c r="Q1" s="150"/>
      <c r="R1" s="151" t="s">
        <v>453</v>
      </c>
      <c r="S1" s="151"/>
      <c r="T1" s="151"/>
      <c r="U1" s="151"/>
      <c r="V1" s="151"/>
      <c r="W1" s="151"/>
      <c r="X1" s="151"/>
      <c r="Y1" s="151"/>
    </row>
    <row r="2" spans="1:178" ht="15" customHeight="1" x14ac:dyDescent="0.25">
      <c r="B2" s="149"/>
      <c r="C2" s="149"/>
      <c r="D2" s="149"/>
      <c r="E2" s="149"/>
      <c r="F2" s="149"/>
      <c r="G2" s="149"/>
      <c r="H2" s="149"/>
      <c r="I2" s="149"/>
      <c r="J2" s="149"/>
      <c r="K2" s="127" t="s">
        <v>467</v>
      </c>
      <c r="L2" s="127"/>
      <c r="M2" s="127"/>
      <c r="N2" s="124" t="s">
        <v>468</v>
      </c>
      <c r="O2" s="125"/>
      <c r="P2" s="125"/>
      <c r="Q2" s="126"/>
      <c r="R2" s="127" t="s">
        <v>445</v>
      </c>
      <c r="S2" s="127"/>
      <c r="T2" s="127"/>
      <c r="U2" s="127"/>
      <c r="V2" s="127"/>
      <c r="W2" s="127"/>
      <c r="X2" s="127"/>
      <c r="Y2" s="127"/>
      <c r="Z2" s="130" t="s">
        <v>178</v>
      </c>
      <c r="AA2" s="131"/>
      <c r="AB2" s="131"/>
      <c r="AC2" s="131"/>
      <c r="AD2" s="132"/>
      <c r="AE2" s="136" t="s">
        <v>444</v>
      </c>
      <c r="AF2" s="137"/>
      <c r="AG2" s="137"/>
      <c r="AH2" s="137"/>
      <c r="AI2" s="137"/>
      <c r="AJ2" s="137"/>
      <c r="AK2" s="138"/>
      <c r="AL2" s="130" t="s">
        <v>179</v>
      </c>
      <c r="AM2" s="131"/>
      <c r="AN2" s="131"/>
      <c r="AO2" s="131"/>
      <c r="AP2" s="131"/>
      <c r="AQ2" s="131"/>
      <c r="AR2" s="132"/>
      <c r="AS2" s="136" t="s">
        <v>443</v>
      </c>
      <c r="AT2" s="137"/>
      <c r="AU2" s="137"/>
      <c r="AV2" s="137"/>
      <c r="AW2" s="137"/>
      <c r="AX2" s="137"/>
      <c r="AY2" s="138"/>
      <c r="AZ2" s="130" t="s">
        <v>180</v>
      </c>
      <c r="BA2" s="131"/>
      <c r="BB2" s="131"/>
      <c r="BC2" s="131"/>
      <c r="BD2" s="131"/>
      <c r="BE2" s="131"/>
      <c r="BF2" s="132"/>
      <c r="BG2" s="136" t="s">
        <v>442</v>
      </c>
      <c r="BH2" s="137"/>
      <c r="BI2" s="137"/>
      <c r="BJ2" s="137"/>
      <c r="BK2" s="137"/>
      <c r="BL2" s="137"/>
      <c r="BM2" s="138"/>
      <c r="BN2" s="130" t="s">
        <v>181</v>
      </c>
      <c r="BO2" s="131"/>
      <c r="BP2" s="131"/>
      <c r="BQ2" s="131"/>
      <c r="BR2" s="131"/>
      <c r="BS2" s="131"/>
      <c r="BT2" s="132"/>
      <c r="BU2" s="136" t="s">
        <v>440</v>
      </c>
      <c r="BV2" s="137"/>
      <c r="BW2" s="137"/>
      <c r="BX2" s="137"/>
      <c r="BY2" s="137"/>
      <c r="BZ2" s="137"/>
      <c r="CA2" s="138"/>
      <c r="CB2" s="130" t="s">
        <v>182</v>
      </c>
      <c r="CC2" s="131"/>
      <c r="CD2" s="131"/>
      <c r="CE2" s="131"/>
      <c r="CF2" s="131"/>
      <c r="CG2" s="131"/>
      <c r="CH2" s="132"/>
      <c r="CI2" s="136" t="s">
        <v>439</v>
      </c>
      <c r="CJ2" s="137"/>
      <c r="CK2" s="137"/>
      <c r="CL2" s="137"/>
      <c r="CM2" s="137"/>
      <c r="CN2" s="137"/>
      <c r="CO2" s="138"/>
      <c r="CP2" s="130" t="s">
        <v>183</v>
      </c>
      <c r="CQ2" s="131"/>
      <c r="CR2" s="131"/>
      <c r="CS2" s="131"/>
      <c r="CT2" s="132"/>
      <c r="CU2" s="136" t="s">
        <v>441</v>
      </c>
      <c r="CV2" s="137"/>
      <c r="CW2" s="137"/>
      <c r="CX2" s="137"/>
      <c r="CY2" s="137"/>
      <c r="CZ2" s="137"/>
      <c r="DA2" s="138"/>
      <c r="DB2" s="130" t="s">
        <v>176</v>
      </c>
      <c r="DC2" s="131"/>
      <c r="DD2" s="131"/>
      <c r="DE2" s="131"/>
      <c r="DF2" s="132"/>
      <c r="DG2" s="136" t="s">
        <v>446</v>
      </c>
      <c r="DH2" s="137"/>
      <c r="DI2" s="137"/>
      <c r="DJ2" s="137"/>
      <c r="DK2" s="137"/>
      <c r="DL2" s="137"/>
      <c r="DM2" s="138"/>
      <c r="DN2" s="130" t="s">
        <v>177</v>
      </c>
      <c r="DO2" s="131"/>
      <c r="DP2" s="131"/>
      <c r="DQ2" s="131"/>
      <c r="DR2" s="132"/>
      <c r="DS2" s="136" t="s">
        <v>447</v>
      </c>
      <c r="DT2" s="137"/>
      <c r="DU2" s="137"/>
      <c r="DV2" s="137"/>
      <c r="DW2" s="137"/>
      <c r="DX2" s="137"/>
      <c r="DY2" s="138"/>
      <c r="DZ2" s="130" t="s">
        <v>190</v>
      </c>
      <c r="EA2" s="131"/>
      <c r="EB2" s="131"/>
      <c r="EC2" s="131"/>
      <c r="ED2" s="132"/>
      <c r="EE2" s="136" t="s">
        <v>448</v>
      </c>
      <c r="EF2" s="137"/>
      <c r="EG2" s="137"/>
      <c r="EH2" s="137"/>
      <c r="EI2" s="137"/>
      <c r="EJ2" s="137"/>
      <c r="EK2" s="138"/>
      <c r="EL2" s="130" t="s">
        <v>191</v>
      </c>
      <c r="EM2" s="131"/>
      <c r="EN2" s="131"/>
      <c r="EO2" s="131"/>
      <c r="EP2" s="132"/>
      <c r="EQ2" s="136" t="s">
        <v>449</v>
      </c>
      <c r="ER2" s="137"/>
      <c r="ES2" s="137"/>
      <c r="ET2" s="137"/>
      <c r="EU2" s="137"/>
      <c r="EV2" s="137"/>
      <c r="EW2" s="138"/>
      <c r="EX2" s="130" t="s">
        <v>189</v>
      </c>
      <c r="EY2" s="131"/>
      <c r="EZ2" s="131"/>
      <c r="FA2" s="131"/>
      <c r="FB2" s="132"/>
      <c r="FC2" s="136" t="s">
        <v>450</v>
      </c>
      <c r="FD2" s="137"/>
      <c r="FE2" s="137"/>
      <c r="FF2" s="137"/>
      <c r="FG2" s="137"/>
      <c r="FH2" s="137"/>
      <c r="FI2" s="138"/>
      <c r="FJ2" s="130" t="s">
        <v>192</v>
      </c>
      <c r="FK2" s="131"/>
      <c r="FL2" s="131"/>
      <c r="FM2" s="131"/>
      <c r="FN2" s="132"/>
      <c r="FO2" s="136" t="s">
        <v>451</v>
      </c>
      <c r="FP2" s="137"/>
      <c r="FQ2" s="137"/>
      <c r="FR2" s="137"/>
      <c r="FS2" s="137"/>
      <c r="FT2" s="137"/>
      <c r="FU2" s="137"/>
    </row>
    <row r="3" spans="1:178" ht="15" customHeight="1" x14ac:dyDescent="0.25">
      <c r="B3" s="142" t="s">
        <v>264</v>
      </c>
      <c r="C3" s="142" t="s">
        <v>36</v>
      </c>
      <c r="D3" s="142" t="s">
        <v>0</v>
      </c>
      <c r="E3" s="144" t="s">
        <v>1</v>
      </c>
      <c r="F3" s="146" t="s">
        <v>232</v>
      </c>
      <c r="G3" s="144" t="s">
        <v>2</v>
      </c>
      <c r="H3" s="144" t="s">
        <v>159</v>
      </c>
      <c r="I3" s="146" t="s">
        <v>214</v>
      </c>
      <c r="J3" s="144" t="s">
        <v>3</v>
      </c>
      <c r="K3" s="144" t="s">
        <v>4</v>
      </c>
      <c r="L3" s="128" t="s">
        <v>5</v>
      </c>
      <c r="M3" s="128" t="s">
        <v>171</v>
      </c>
      <c r="N3" s="122" t="s">
        <v>169</v>
      </c>
      <c r="O3" s="122" t="s">
        <v>170</v>
      </c>
      <c r="P3" s="122" t="s">
        <v>213</v>
      </c>
      <c r="Q3" s="122" t="s">
        <v>210</v>
      </c>
      <c r="R3" s="152" t="s">
        <v>6</v>
      </c>
      <c r="S3" s="153"/>
      <c r="T3" s="144" t="s">
        <v>438</v>
      </c>
      <c r="U3" s="144" t="s">
        <v>7</v>
      </c>
      <c r="V3" s="144" t="s">
        <v>8</v>
      </c>
      <c r="W3" s="144" t="s">
        <v>9</v>
      </c>
      <c r="X3" s="156" t="s">
        <v>10</v>
      </c>
      <c r="Y3" s="156"/>
      <c r="Z3" s="133"/>
      <c r="AA3" s="134"/>
      <c r="AB3" s="134"/>
      <c r="AC3" s="134"/>
      <c r="AD3" s="135"/>
      <c r="AE3" s="139"/>
      <c r="AF3" s="140"/>
      <c r="AG3" s="140"/>
      <c r="AH3" s="140"/>
      <c r="AI3" s="140"/>
      <c r="AJ3" s="140"/>
      <c r="AK3" s="141"/>
      <c r="AL3" s="133"/>
      <c r="AM3" s="134"/>
      <c r="AN3" s="134"/>
      <c r="AO3" s="134"/>
      <c r="AP3" s="134"/>
      <c r="AQ3" s="134"/>
      <c r="AR3" s="135"/>
      <c r="AS3" s="139"/>
      <c r="AT3" s="140"/>
      <c r="AU3" s="140"/>
      <c r="AV3" s="140"/>
      <c r="AW3" s="140"/>
      <c r="AX3" s="140"/>
      <c r="AY3" s="141"/>
      <c r="AZ3" s="133"/>
      <c r="BA3" s="134"/>
      <c r="BB3" s="134"/>
      <c r="BC3" s="134"/>
      <c r="BD3" s="134"/>
      <c r="BE3" s="134"/>
      <c r="BF3" s="135"/>
      <c r="BG3" s="139"/>
      <c r="BH3" s="140"/>
      <c r="BI3" s="140"/>
      <c r="BJ3" s="140"/>
      <c r="BK3" s="140"/>
      <c r="BL3" s="140"/>
      <c r="BM3" s="141"/>
      <c r="BN3" s="133"/>
      <c r="BO3" s="134"/>
      <c r="BP3" s="134"/>
      <c r="BQ3" s="134"/>
      <c r="BR3" s="134"/>
      <c r="BS3" s="134"/>
      <c r="BT3" s="135"/>
      <c r="BU3" s="139"/>
      <c r="BV3" s="140"/>
      <c r="BW3" s="140"/>
      <c r="BX3" s="140"/>
      <c r="BY3" s="140"/>
      <c r="BZ3" s="140"/>
      <c r="CA3" s="141"/>
      <c r="CB3" s="133"/>
      <c r="CC3" s="134"/>
      <c r="CD3" s="134"/>
      <c r="CE3" s="134"/>
      <c r="CF3" s="134"/>
      <c r="CG3" s="134"/>
      <c r="CH3" s="135"/>
      <c r="CI3" s="139"/>
      <c r="CJ3" s="140"/>
      <c r="CK3" s="140"/>
      <c r="CL3" s="140"/>
      <c r="CM3" s="140"/>
      <c r="CN3" s="140"/>
      <c r="CO3" s="141"/>
      <c r="CP3" s="133"/>
      <c r="CQ3" s="134"/>
      <c r="CR3" s="134"/>
      <c r="CS3" s="134"/>
      <c r="CT3" s="135"/>
      <c r="CU3" s="139"/>
      <c r="CV3" s="140"/>
      <c r="CW3" s="140"/>
      <c r="CX3" s="140"/>
      <c r="CY3" s="140"/>
      <c r="CZ3" s="140"/>
      <c r="DA3" s="141"/>
      <c r="DB3" s="133"/>
      <c r="DC3" s="134"/>
      <c r="DD3" s="134"/>
      <c r="DE3" s="134"/>
      <c r="DF3" s="135"/>
      <c r="DG3" s="139"/>
      <c r="DH3" s="140"/>
      <c r="DI3" s="140"/>
      <c r="DJ3" s="140"/>
      <c r="DK3" s="140"/>
      <c r="DL3" s="140"/>
      <c r="DM3" s="141"/>
      <c r="DN3" s="133"/>
      <c r="DO3" s="134"/>
      <c r="DP3" s="134"/>
      <c r="DQ3" s="134"/>
      <c r="DR3" s="135"/>
      <c r="DS3" s="139"/>
      <c r="DT3" s="140"/>
      <c r="DU3" s="140"/>
      <c r="DV3" s="140"/>
      <c r="DW3" s="140"/>
      <c r="DX3" s="140"/>
      <c r="DY3" s="141"/>
      <c r="DZ3" s="133"/>
      <c r="EA3" s="134"/>
      <c r="EB3" s="134"/>
      <c r="EC3" s="134"/>
      <c r="ED3" s="135"/>
      <c r="EE3" s="139"/>
      <c r="EF3" s="140"/>
      <c r="EG3" s="140"/>
      <c r="EH3" s="140"/>
      <c r="EI3" s="140"/>
      <c r="EJ3" s="140"/>
      <c r="EK3" s="141"/>
      <c r="EL3" s="133"/>
      <c r="EM3" s="134"/>
      <c r="EN3" s="134"/>
      <c r="EO3" s="134"/>
      <c r="EP3" s="135"/>
      <c r="EQ3" s="139"/>
      <c r="ER3" s="140"/>
      <c r="ES3" s="140"/>
      <c r="ET3" s="140"/>
      <c r="EU3" s="140"/>
      <c r="EV3" s="140"/>
      <c r="EW3" s="141"/>
      <c r="EX3" s="133"/>
      <c r="EY3" s="134"/>
      <c r="EZ3" s="134"/>
      <c r="FA3" s="134"/>
      <c r="FB3" s="135"/>
      <c r="FC3" s="139"/>
      <c r="FD3" s="140"/>
      <c r="FE3" s="140"/>
      <c r="FF3" s="140"/>
      <c r="FG3" s="140"/>
      <c r="FH3" s="140"/>
      <c r="FI3" s="141"/>
      <c r="FJ3" s="133"/>
      <c r="FK3" s="134"/>
      <c r="FL3" s="134"/>
      <c r="FM3" s="134"/>
      <c r="FN3" s="135"/>
      <c r="FO3" s="139"/>
      <c r="FP3" s="140"/>
      <c r="FQ3" s="140"/>
      <c r="FR3" s="140"/>
      <c r="FS3" s="140"/>
      <c r="FT3" s="140"/>
      <c r="FU3" s="140"/>
    </row>
    <row r="4" spans="1:178" ht="17.25" thickBot="1" x14ac:dyDescent="0.3">
      <c r="B4" s="143"/>
      <c r="C4" s="143"/>
      <c r="D4" s="143"/>
      <c r="E4" s="145"/>
      <c r="F4" s="147"/>
      <c r="G4" s="145"/>
      <c r="H4" s="145"/>
      <c r="I4" s="147"/>
      <c r="J4" s="145"/>
      <c r="K4" s="145"/>
      <c r="L4" s="129"/>
      <c r="M4" s="129"/>
      <c r="N4" s="123"/>
      <c r="O4" s="123"/>
      <c r="P4" s="123"/>
      <c r="Q4" s="123"/>
      <c r="R4" s="154"/>
      <c r="S4" s="155"/>
      <c r="T4" s="145"/>
      <c r="U4" s="145"/>
      <c r="V4" s="145"/>
      <c r="W4" s="145"/>
      <c r="X4" s="99" t="s">
        <v>211</v>
      </c>
      <c r="Y4" s="99" t="s">
        <v>212</v>
      </c>
      <c r="Z4" s="11" t="s">
        <v>162</v>
      </c>
      <c r="AA4" s="11" t="s">
        <v>160</v>
      </c>
      <c r="AB4" s="13" t="s">
        <v>161</v>
      </c>
      <c r="AC4" s="13" t="s">
        <v>269</v>
      </c>
      <c r="AD4" s="13" t="s">
        <v>268</v>
      </c>
      <c r="AE4" s="30" t="s">
        <v>163</v>
      </c>
      <c r="AF4" s="14" t="s">
        <v>438</v>
      </c>
      <c r="AG4" s="14" t="s">
        <v>164</v>
      </c>
      <c r="AH4" s="14" t="s">
        <v>165</v>
      </c>
      <c r="AI4" s="14" t="s">
        <v>166</v>
      </c>
      <c r="AJ4" s="14" t="s">
        <v>10</v>
      </c>
      <c r="AK4" s="15" t="s">
        <v>167</v>
      </c>
      <c r="AL4" s="11" t="s">
        <v>162</v>
      </c>
      <c r="AM4" s="11" t="s">
        <v>160</v>
      </c>
      <c r="AN4" s="13" t="s">
        <v>161</v>
      </c>
      <c r="AO4" s="121" t="s">
        <v>6</v>
      </c>
      <c r="AP4" s="13" t="s">
        <v>438</v>
      </c>
      <c r="AQ4" s="13" t="s">
        <v>269</v>
      </c>
      <c r="AR4" s="13" t="s">
        <v>268</v>
      </c>
      <c r="AS4" s="30" t="s">
        <v>163</v>
      </c>
      <c r="AT4" s="14" t="s">
        <v>438</v>
      </c>
      <c r="AU4" s="14" t="s">
        <v>164</v>
      </c>
      <c r="AV4" s="14" t="s">
        <v>165</v>
      </c>
      <c r="AW4" s="14" t="s">
        <v>166</v>
      </c>
      <c r="AX4" s="14" t="s">
        <v>10</v>
      </c>
      <c r="AY4" s="26" t="s">
        <v>167</v>
      </c>
      <c r="AZ4" s="11" t="s">
        <v>162</v>
      </c>
      <c r="BA4" s="11" t="s">
        <v>160</v>
      </c>
      <c r="BB4" s="13" t="s">
        <v>161</v>
      </c>
      <c r="BC4" s="121" t="s">
        <v>6</v>
      </c>
      <c r="BD4" s="13" t="s">
        <v>438</v>
      </c>
      <c r="BE4" s="13" t="s">
        <v>269</v>
      </c>
      <c r="BF4" s="13" t="s">
        <v>268</v>
      </c>
      <c r="BG4" s="34" t="s">
        <v>163</v>
      </c>
      <c r="BH4" s="14" t="s">
        <v>438</v>
      </c>
      <c r="BI4" s="14" t="s">
        <v>164</v>
      </c>
      <c r="BJ4" s="14" t="s">
        <v>165</v>
      </c>
      <c r="BK4" s="14" t="s">
        <v>166</v>
      </c>
      <c r="BL4" s="14" t="s">
        <v>10</v>
      </c>
      <c r="BM4" s="26" t="s">
        <v>167</v>
      </c>
      <c r="BN4" s="11" t="s">
        <v>162</v>
      </c>
      <c r="BO4" s="11" t="s">
        <v>160</v>
      </c>
      <c r="BP4" s="13" t="s">
        <v>161</v>
      </c>
      <c r="BQ4" s="121" t="s">
        <v>6</v>
      </c>
      <c r="BR4" s="13" t="s">
        <v>438</v>
      </c>
      <c r="BS4" s="13" t="s">
        <v>269</v>
      </c>
      <c r="BT4" s="13" t="s">
        <v>268</v>
      </c>
      <c r="BU4" s="34" t="s">
        <v>163</v>
      </c>
      <c r="BV4" s="14" t="s">
        <v>438</v>
      </c>
      <c r="BW4" s="14" t="s">
        <v>164</v>
      </c>
      <c r="BX4" s="14" t="s">
        <v>165</v>
      </c>
      <c r="BY4" s="14" t="s">
        <v>166</v>
      </c>
      <c r="BZ4" s="14" t="s">
        <v>10</v>
      </c>
      <c r="CA4" s="26"/>
      <c r="CB4" s="11" t="s">
        <v>162</v>
      </c>
      <c r="CC4" s="11" t="s">
        <v>160</v>
      </c>
      <c r="CD4" s="13" t="s">
        <v>161</v>
      </c>
      <c r="CE4" s="121" t="s">
        <v>6</v>
      </c>
      <c r="CF4" s="13" t="s">
        <v>438</v>
      </c>
      <c r="CG4" s="13" t="s">
        <v>269</v>
      </c>
      <c r="CH4" s="13" t="s">
        <v>268</v>
      </c>
      <c r="CI4" s="34" t="s">
        <v>163</v>
      </c>
      <c r="CJ4" s="14" t="s">
        <v>438</v>
      </c>
      <c r="CK4" s="14" t="s">
        <v>164</v>
      </c>
      <c r="CL4" s="14" t="s">
        <v>165</v>
      </c>
      <c r="CM4" s="14" t="s">
        <v>166</v>
      </c>
      <c r="CN4" s="14" t="s">
        <v>10</v>
      </c>
      <c r="CO4" s="26" t="s">
        <v>167</v>
      </c>
      <c r="CP4" s="11" t="s">
        <v>162</v>
      </c>
      <c r="CQ4" s="11" t="s">
        <v>160</v>
      </c>
      <c r="CR4" s="13" t="s">
        <v>161</v>
      </c>
      <c r="CS4" s="13" t="s">
        <v>269</v>
      </c>
      <c r="CT4" s="13" t="s">
        <v>268</v>
      </c>
      <c r="CU4" s="34" t="s">
        <v>163</v>
      </c>
      <c r="CV4" s="14" t="s">
        <v>438</v>
      </c>
      <c r="CW4" s="14" t="s">
        <v>164</v>
      </c>
      <c r="CX4" s="14" t="s">
        <v>165</v>
      </c>
      <c r="CY4" s="14" t="s">
        <v>166</v>
      </c>
      <c r="CZ4" s="14" t="s">
        <v>10</v>
      </c>
      <c r="DA4" s="26" t="s">
        <v>167</v>
      </c>
      <c r="DB4" s="11" t="s">
        <v>162</v>
      </c>
      <c r="DC4" s="11" t="s">
        <v>160</v>
      </c>
      <c r="DD4" s="13" t="s">
        <v>161</v>
      </c>
      <c r="DE4" s="13" t="s">
        <v>269</v>
      </c>
      <c r="DF4" s="13" t="s">
        <v>268</v>
      </c>
      <c r="DG4" s="34" t="s">
        <v>163</v>
      </c>
      <c r="DH4" s="14" t="s">
        <v>438</v>
      </c>
      <c r="DI4" s="14" t="s">
        <v>164</v>
      </c>
      <c r="DJ4" s="14" t="s">
        <v>165</v>
      </c>
      <c r="DK4" s="14" t="s">
        <v>166</v>
      </c>
      <c r="DL4" s="14" t="s">
        <v>10</v>
      </c>
      <c r="DM4" s="26" t="s">
        <v>167</v>
      </c>
      <c r="DN4" s="11" t="s">
        <v>162</v>
      </c>
      <c r="DO4" s="11" t="s">
        <v>160</v>
      </c>
      <c r="DP4" s="13" t="s">
        <v>161</v>
      </c>
      <c r="DQ4" s="13" t="s">
        <v>269</v>
      </c>
      <c r="DR4" s="13" t="s">
        <v>268</v>
      </c>
      <c r="DS4" s="34" t="s">
        <v>163</v>
      </c>
      <c r="DT4" s="14" t="s">
        <v>438</v>
      </c>
      <c r="DU4" s="14" t="s">
        <v>164</v>
      </c>
      <c r="DV4" s="14" t="s">
        <v>165</v>
      </c>
      <c r="DW4" s="14" t="s">
        <v>166</v>
      </c>
      <c r="DX4" s="14" t="s">
        <v>10</v>
      </c>
      <c r="DY4" s="26" t="s">
        <v>167</v>
      </c>
      <c r="DZ4" s="11" t="s">
        <v>162</v>
      </c>
      <c r="EA4" s="11" t="s">
        <v>160</v>
      </c>
      <c r="EB4" s="13" t="s">
        <v>161</v>
      </c>
      <c r="EC4" s="13" t="s">
        <v>269</v>
      </c>
      <c r="ED4" s="13" t="s">
        <v>268</v>
      </c>
      <c r="EE4" s="34" t="s">
        <v>163</v>
      </c>
      <c r="EF4" s="14" t="s">
        <v>438</v>
      </c>
      <c r="EG4" s="14" t="s">
        <v>164</v>
      </c>
      <c r="EH4" s="14" t="s">
        <v>165</v>
      </c>
      <c r="EI4" s="14" t="s">
        <v>166</v>
      </c>
      <c r="EJ4" s="14" t="s">
        <v>10</v>
      </c>
      <c r="EK4" s="26" t="s">
        <v>167</v>
      </c>
      <c r="EL4" s="11" t="s">
        <v>162</v>
      </c>
      <c r="EM4" s="11" t="s">
        <v>160</v>
      </c>
      <c r="EN4" s="13" t="s">
        <v>161</v>
      </c>
      <c r="EO4" s="13" t="s">
        <v>269</v>
      </c>
      <c r="EP4" s="13" t="s">
        <v>268</v>
      </c>
      <c r="EQ4" s="34" t="s">
        <v>163</v>
      </c>
      <c r="ER4" s="14" t="s">
        <v>438</v>
      </c>
      <c r="ES4" s="14" t="s">
        <v>164</v>
      </c>
      <c r="ET4" s="14" t="s">
        <v>165</v>
      </c>
      <c r="EU4" s="14" t="s">
        <v>166</v>
      </c>
      <c r="EV4" s="14" t="s">
        <v>10</v>
      </c>
      <c r="EW4" s="26" t="s">
        <v>167</v>
      </c>
      <c r="EX4" s="11" t="s">
        <v>162</v>
      </c>
      <c r="EY4" s="11" t="s">
        <v>160</v>
      </c>
      <c r="EZ4" s="13" t="s">
        <v>161</v>
      </c>
      <c r="FA4" s="13" t="s">
        <v>269</v>
      </c>
      <c r="FB4" s="13" t="s">
        <v>268</v>
      </c>
      <c r="FC4" s="34" t="s">
        <v>163</v>
      </c>
      <c r="FD4" s="14" t="s">
        <v>438</v>
      </c>
      <c r="FE4" s="14" t="s">
        <v>164</v>
      </c>
      <c r="FF4" s="14" t="s">
        <v>165</v>
      </c>
      <c r="FG4" s="14" t="s">
        <v>166</v>
      </c>
      <c r="FH4" s="14" t="s">
        <v>10</v>
      </c>
      <c r="FI4" s="26" t="s">
        <v>167</v>
      </c>
      <c r="FJ4" s="11" t="s">
        <v>162</v>
      </c>
      <c r="FK4" s="11" t="s">
        <v>160</v>
      </c>
      <c r="FL4" s="13" t="s">
        <v>161</v>
      </c>
      <c r="FM4" s="13" t="s">
        <v>269</v>
      </c>
      <c r="FN4" s="13" t="s">
        <v>268</v>
      </c>
      <c r="FO4" s="34" t="s">
        <v>163</v>
      </c>
      <c r="FP4" s="14" t="s">
        <v>438</v>
      </c>
      <c r="FQ4" s="14" t="s">
        <v>164</v>
      </c>
      <c r="FR4" s="14" t="s">
        <v>165</v>
      </c>
      <c r="FS4" s="14" t="s">
        <v>166</v>
      </c>
      <c r="FT4" s="14" t="s">
        <v>10</v>
      </c>
      <c r="FU4" s="26" t="s">
        <v>167</v>
      </c>
      <c r="FV4" s="28" t="s">
        <v>175</v>
      </c>
    </row>
    <row r="5" spans="1:178" ht="15" customHeight="1" x14ac:dyDescent="0.25">
      <c r="B5" s="72" t="s">
        <v>462</v>
      </c>
      <c r="C5" s="72" t="s">
        <v>463</v>
      </c>
      <c r="D5" s="72" t="s">
        <v>464</v>
      </c>
      <c r="E5" s="21" t="s">
        <v>465</v>
      </c>
      <c r="F5" s="43" t="s">
        <v>469</v>
      </c>
      <c r="G5" s="2" t="s">
        <v>470</v>
      </c>
      <c r="H5" s="2" t="s">
        <v>471</v>
      </c>
      <c r="I5" s="2" t="s">
        <v>472</v>
      </c>
      <c r="J5" s="2" t="s">
        <v>473</v>
      </c>
      <c r="K5" s="49" t="s">
        <v>474</v>
      </c>
      <c r="L5" s="5" t="s">
        <v>475</v>
      </c>
      <c r="M5" s="9" t="str">
        <f t="shared" ref="M5" si="0">IF(AND(L5&gt;0, L5&lt;=24.99),"Normal", IF(AND(L5&gt;24.99,L5&lt;=29.99),"sobrepeso",IF(AND(L5&gt;29.99,L5&lt;=34.99),"Obesidad Grado I",IF(AND(L5&gt;34.99,L5&lt;=39.99),"Obesidad Grado II",IF(AND(L5&gt;39.99),"Obesidad Grado III")))))</f>
        <v>Obesidad Grado III</v>
      </c>
      <c r="N5" s="31" t="e">
        <f t="shared" ref="N5" si="1">((J5*J5)*I5)*0.13+((J5*J5)*I5)</f>
        <v>#VALUE!</v>
      </c>
      <c r="O5" s="17" t="e">
        <f t="shared" ref="O5" si="2">K5-N5</f>
        <v>#VALUE!</v>
      </c>
      <c r="P5" s="23" t="e">
        <f>IF(AND(O5&gt;0, O5&lt;=3.5),"1", IF(AND(O5&gt;3.5, O5&lt;=5),"3", IF(AND(O5&gt;5,O5&lt;=10),"6",IF(AND(O5&gt;10,O5&lt;=16),"12",IF(AND(O5&gt;16),"18",IF(AND(O5&lt;0),"0"))))))</f>
        <v>#VALUE!</v>
      </c>
      <c r="Q5" s="42" t="e">
        <f t="shared" ref="Q5" si="3">O5/P5</f>
        <v>#VALUE!</v>
      </c>
      <c r="R5" s="38"/>
      <c r="S5" s="39" t="b">
        <f>IF(AND(H5="M",R5&gt;102),"AN", IF(AND(H5="M",R5&lt;=102),"N", IF(AND(H5="F",R5&gt;88),"AN", IF(AND(H5="F",R5&lt;=88),"N"))))</f>
        <v>0</v>
      </c>
      <c r="T5" s="115" t="e">
        <f>R5/J5</f>
        <v>#VALUE!</v>
      </c>
      <c r="U5" s="8"/>
      <c r="V5" s="2"/>
      <c r="W5" s="7"/>
      <c r="X5" s="40"/>
      <c r="Y5" s="41"/>
      <c r="Z5" s="2" t="str">
        <f t="shared" ref="Z5" si="4">K5</f>
        <v>{peso}</v>
      </c>
      <c r="AA5" s="2">
        <v>0</v>
      </c>
      <c r="AB5" s="102">
        <v>0</v>
      </c>
      <c r="AC5" s="103" t="s">
        <v>249</v>
      </c>
      <c r="AD5" s="103" t="s">
        <v>271</v>
      </c>
      <c r="AE5" s="16">
        <f>AB5*15/100</f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8">
        <f>SUM(AF5:AJ5)</f>
        <v>0</v>
      </c>
      <c r="AL5" s="5" t="e">
        <f t="shared" ref="AL5" si="5">Z5-Q5</f>
        <v>#VALUE!</v>
      </c>
      <c r="AM5" s="49">
        <v>0</v>
      </c>
      <c r="AN5" s="102" t="e">
        <f t="shared" ref="AN5" si="6">((K5-AM5)*100%)/(K5-AL5)</f>
        <v>#VALUE!</v>
      </c>
      <c r="AO5" s="119">
        <v>0</v>
      </c>
      <c r="AP5" s="119" t="e">
        <f>AO5/J5</f>
        <v>#VALUE!</v>
      </c>
      <c r="AQ5" s="103" t="s">
        <v>249</v>
      </c>
      <c r="AR5" s="103" t="s">
        <v>271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24">
        <f>SUM(AT5:AX5)</f>
        <v>0</v>
      </c>
      <c r="AZ5" s="5" t="e">
        <f t="shared" ref="AZ5" si="7">AL5-Q5</f>
        <v>#VALUE!</v>
      </c>
      <c r="BA5" s="49">
        <v>0</v>
      </c>
      <c r="BB5" s="102" t="e">
        <f t="shared" ref="BB5" si="8">((K5-BA5)*100%)/(K5-AZ5)</f>
        <v>#VALUE!</v>
      </c>
      <c r="BC5" s="119"/>
      <c r="BD5" s="119" t="e">
        <f>BC5/J5</f>
        <v>#VALUE!</v>
      </c>
      <c r="BE5" s="103" t="s">
        <v>249</v>
      </c>
      <c r="BF5" s="103" t="s">
        <v>271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27">
        <f>SUM(BH5:BL5)</f>
        <v>0</v>
      </c>
      <c r="BN5" s="5" t="e">
        <f t="shared" ref="BN5" si="9">AZ5-Q5</f>
        <v>#VALUE!</v>
      </c>
      <c r="BO5" s="49"/>
      <c r="BP5" s="102" t="e">
        <f t="shared" ref="BP5" si="10">((K5-BO5)*100%)/(K5-BN5)</f>
        <v>#VALUE!</v>
      </c>
      <c r="BQ5" s="102"/>
      <c r="BR5" s="119" t="e">
        <f>BQ5/J5</f>
        <v>#VALUE!</v>
      </c>
      <c r="BS5" s="103"/>
      <c r="BT5" s="103"/>
      <c r="BU5" s="16" t="e">
        <f t="shared" ref="BU5" si="11">BP5*15/100</f>
        <v>#VALUE!</v>
      </c>
      <c r="BV5" s="16"/>
      <c r="BW5" s="16"/>
      <c r="BX5" s="16"/>
      <c r="BY5" s="16"/>
      <c r="BZ5" s="16"/>
      <c r="CA5" s="27">
        <f>SUM(BV5:BZ5)</f>
        <v>0</v>
      </c>
      <c r="CB5" s="5" t="e">
        <f t="shared" ref="CB5" si="12">BN5-Q5</f>
        <v>#VALUE!</v>
      </c>
      <c r="CC5" s="104"/>
      <c r="CD5" s="102" t="e">
        <f t="shared" ref="CD5" si="13">((K5-CC5)*100%)/(K5-CB5)</f>
        <v>#VALUE!</v>
      </c>
      <c r="CE5" s="102"/>
      <c r="CF5" s="119" t="e">
        <f>CE5/J5</f>
        <v>#VALUE!</v>
      </c>
      <c r="CG5" s="103"/>
      <c r="CH5" s="103"/>
      <c r="CI5" s="16" t="e">
        <f t="shared" ref="CI5" si="14">CD5*15/100</f>
        <v>#VALUE!</v>
      </c>
      <c r="CJ5" s="16"/>
      <c r="CK5" s="16"/>
      <c r="CL5" s="16"/>
      <c r="CM5" s="16"/>
      <c r="CN5" s="16"/>
      <c r="CO5" s="27">
        <f>SUM(CJ5:CN5)</f>
        <v>0</v>
      </c>
      <c r="CP5" s="5" t="e">
        <f t="shared" ref="CP5" si="15">CB5-Q5</f>
        <v>#VALUE!</v>
      </c>
      <c r="CQ5" s="105"/>
      <c r="CR5" s="102" t="e">
        <f t="shared" ref="CR5" si="16">((K5-CQ5)*100%)/(K5-CP5)</f>
        <v>#VALUE!</v>
      </c>
      <c r="CS5" s="103"/>
      <c r="CT5" s="103"/>
      <c r="CU5" s="16" t="e">
        <f>CR5*15/100</f>
        <v>#VALUE!</v>
      </c>
      <c r="CV5" s="16"/>
      <c r="CW5" s="16"/>
      <c r="CX5" s="16"/>
      <c r="CY5" s="16"/>
      <c r="CZ5" s="16"/>
      <c r="DA5" s="27">
        <f>SUM(CV5:CZ5)</f>
        <v>0</v>
      </c>
      <c r="DB5" s="5" t="e">
        <f t="shared" ref="DB5" si="17">CP5-Q5</f>
        <v>#VALUE!</v>
      </c>
      <c r="DC5" s="106"/>
      <c r="DD5" s="102" t="e">
        <f t="shared" ref="DD5" si="18">((K5-DC5)*100%)/(K5-DB5)</f>
        <v>#VALUE!</v>
      </c>
      <c r="DE5" s="103"/>
      <c r="DF5" s="103"/>
      <c r="DG5" s="16" t="e">
        <f t="shared" ref="DG5" si="19">DD5*15/100</f>
        <v>#VALUE!</v>
      </c>
      <c r="DH5" s="16"/>
      <c r="DI5" s="16"/>
      <c r="DJ5" s="16"/>
      <c r="DK5" s="16"/>
      <c r="DL5" s="16"/>
      <c r="DM5" s="27">
        <f>SUM(DH5:DL5)</f>
        <v>0</v>
      </c>
      <c r="DN5" s="5" t="e">
        <f t="shared" ref="DN5" si="20">DB5-Q5</f>
        <v>#VALUE!</v>
      </c>
      <c r="DO5" s="49"/>
      <c r="DP5" s="102" t="e">
        <f t="shared" ref="DP5" si="21">((K5-DO5)*100%)/(K5-DN5)</f>
        <v>#VALUE!</v>
      </c>
      <c r="DQ5" s="103"/>
      <c r="DR5" s="103"/>
      <c r="DS5" s="16" t="e">
        <f>DP5*15/100</f>
        <v>#VALUE!</v>
      </c>
      <c r="DT5" s="16"/>
      <c r="DU5" s="16"/>
      <c r="DV5" s="16"/>
      <c r="DW5" s="16"/>
      <c r="DX5" s="16"/>
      <c r="DY5" s="27">
        <f>SUM(DT5:DX5)</f>
        <v>0</v>
      </c>
      <c r="DZ5" s="5" t="e">
        <f t="shared" ref="DZ5" si="22">DN5-Q5</f>
        <v>#VALUE!</v>
      </c>
      <c r="EA5" s="107"/>
      <c r="EB5" s="102" t="e">
        <f t="shared" ref="EB5" si="23">((K5-EA5)*100%)/(K5-DZ5)</f>
        <v>#VALUE!</v>
      </c>
      <c r="EC5" s="103"/>
      <c r="ED5" s="103"/>
      <c r="EE5" s="16" t="e">
        <f>EB5*15/100</f>
        <v>#VALUE!</v>
      </c>
      <c r="EF5" s="16"/>
      <c r="EG5" s="16"/>
      <c r="EH5" s="16"/>
      <c r="EI5" s="16"/>
      <c r="EJ5" s="16"/>
      <c r="EK5" s="27">
        <f>SUM(EF5:EJ5)</f>
        <v>0</v>
      </c>
      <c r="EL5" s="5" t="e">
        <f t="shared" ref="EL5" si="24">DZ5-Q5</f>
        <v>#VALUE!</v>
      </c>
      <c r="EM5" s="105"/>
      <c r="EN5" s="102" t="e">
        <f t="shared" ref="EN5" si="25">((K5-EM5)*100%)/(K5-EL5)</f>
        <v>#VALUE!</v>
      </c>
      <c r="EO5" s="103"/>
      <c r="EP5" s="103"/>
      <c r="EQ5" s="16" t="e">
        <f>EN5*15/100</f>
        <v>#VALUE!</v>
      </c>
      <c r="ER5" s="16"/>
      <c r="ES5" s="16"/>
      <c r="ET5" s="16"/>
      <c r="EU5" s="16"/>
      <c r="EV5" s="16"/>
      <c r="EW5" s="27">
        <f>SUM(ER5:EV5)</f>
        <v>0</v>
      </c>
      <c r="EX5" s="5" t="e">
        <f t="shared" ref="EX5" si="26">EL5-Q5</f>
        <v>#VALUE!</v>
      </c>
      <c r="EY5" s="105"/>
      <c r="EZ5" s="102" t="e">
        <f t="shared" ref="EZ5" si="27">((K5-EY5)*100%)/(K5-EX5)</f>
        <v>#VALUE!</v>
      </c>
      <c r="FA5" s="103"/>
      <c r="FB5" s="103"/>
      <c r="FC5" s="16" t="e">
        <f>EZ5*15/100</f>
        <v>#VALUE!</v>
      </c>
      <c r="FD5" s="16"/>
      <c r="FE5" s="16"/>
      <c r="FF5" s="16"/>
      <c r="FG5" s="16"/>
      <c r="FH5" s="16"/>
      <c r="FI5" s="27">
        <f>SUM(FD5:FH5)</f>
        <v>0</v>
      </c>
      <c r="FJ5" s="2" t="e">
        <f t="shared" ref="FJ5" si="28">EX5-AN5</f>
        <v>#VALUE!</v>
      </c>
      <c r="FK5" s="105"/>
      <c r="FL5" s="102" t="e">
        <f t="shared" ref="FL5" si="29">((K5-FK5)*100%)/(K5-FJ5)</f>
        <v>#VALUE!</v>
      </c>
      <c r="FM5" s="103"/>
      <c r="FN5" s="103"/>
      <c r="FO5" s="16" t="e">
        <f>FL5*15/100</f>
        <v>#VALUE!</v>
      </c>
      <c r="FP5" s="16"/>
      <c r="FQ5" s="16"/>
      <c r="FR5" s="16"/>
      <c r="FS5" s="16"/>
      <c r="FT5" s="16"/>
      <c r="FU5" s="27">
        <f>SUM(FP5:FT5)</f>
        <v>0</v>
      </c>
      <c r="FV5" s="29">
        <f t="shared" ref="FV5" si="30">COUNTIF(D5:FM5,"falta")</f>
        <v>3</v>
      </c>
    </row>
    <row r="6" spans="1:178" x14ac:dyDescent="0.25">
      <c r="AP6" s="120"/>
    </row>
    <row r="8" spans="1:178" x14ac:dyDescent="0.25">
      <c r="E8" s="3" t="s">
        <v>299</v>
      </c>
      <c r="F8" s="4" t="s">
        <v>299</v>
      </c>
    </row>
    <row r="9" spans="1:178" x14ac:dyDescent="0.25">
      <c r="AL9" s="32"/>
      <c r="CQ9" s="25">
        <v>0</v>
      </c>
    </row>
    <row r="11" spans="1:178" s="25" customFormat="1" x14ac:dyDescent="0.25">
      <c r="A11"/>
      <c r="B11" s="10"/>
      <c r="C11" s="10"/>
      <c r="D11" s="10"/>
      <c r="E11" s="3"/>
      <c r="F11" s="4"/>
      <c r="G11" s="4"/>
      <c r="H11" s="4"/>
      <c r="I11" s="4"/>
      <c r="J11" s="4"/>
      <c r="K11" s="4"/>
      <c r="L11" s="6"/>
      <c r="M11" s="6"/>
      <c r="N11" s="32"/>
      <c r="O11" s="6"/>
      <c r="P11" s="6"/>
      <c r="Q11" s="6"/>
      <c r="R11" s="4"/>
      <c r="S11" s="4"/>
      <c r="T11" s="4"/>
      <c r="U11" s="4"/>
      <c r="V11" s="4"/>
      <c r="W11" s="4"/>
      <c r="X11" s="4"/>
      <c r="Y11" s="4"/>
      <c r="Z11"/>
      <c r="AA11" s="12"/>
      <c r="AB11" s="12"/>
      <c r="AC11" s="12"/>
      <c r="AD11" s="12"/>
      <c r="AE11"/>
      <c r="AF11"/>
      <c r="AG11"/>
      <c r="AH11"/>
      <c r="AI11"/>
      <c r="AJ11"/>
      <c r="AK11"/>
      <c r="AL11" s="32"/>
      <c r="AO11" s="120"/>
      <c r="AQ11" s="12"/>
      <c r="AR11" s="12"/>
      <c r="AZ11"/>
      <c r="BA11" s="35"/>
      <c r="BC11" s="120"/>
      <c r="BE11" s="12"/>
      <c r="BF11" s="12"/>
      <c r="BN11"/>
      <c r="BS11" s="12"/>
      <c r="BT11" s="12"/>
      <c r="CB11"/>
      <c r="CG11" s="12"/>
      <c r="CH11" s="12"/>
      <c r="CP11"/>
      <c r="CS11" s="12"/>
      <c r="CT11" s="12"/>
      <c r="DB11"/>
      <c r="DE11" s="12"/>
      <c r="DF11" s="12"/>
      <c r="DN11"/>
      <c r="DQ11" s="12"/>
      <c r="DR11" s="12"/>
      <c r="DZ11"/>
      <c r="EC11" s="12"/>
      <c r="ED11" s="12"/>
      <c r="EL11"/>
      <c r="EO11" s="12"/>
      <c r="EP11" s="12"/>
      <c r="EX11"/>
      <c r="FA11" s="12"/>
      <c r="FB11" s="12"/>
      <c r="FJ11"/>
      <c r="FM11" s="12"/>
      <c r="FN11" s="12"/>
      <c r="FV11"/>
    </row>
    <row r="12" spans="1:178" s="25" customFormat="1" x14ac:dyDescent="0.25">
      <c r="A12"/>
      <c r="B12" s="10"/>
      <c r="C12" s="10"/>
      <c r="D12" s="10"/>
      <c r="E12" s="3"/>
      <c r="F12" s="4"/>
      <c r="G12" s="4"/>
      <c r="H12" s="4"/>
      <c r="I12" s="4"/>
      <c r="J12" s="4"/>
      <c r="K12" s="4"/>
      <c r="L12" s="6"/>
      <c r="M12" s="6"/>
      <c r="N12" s="32"/>
      <c r="O12" s="6"/>
      <c r="P12" s="6"/>
      <c r="Q12" s="6"/>
      <c r="R12" s="4"/>
      <c r="S12" s="4"/>
      <c r="T12" s="4"/>
      <c r="U12" s="4"/>
      <c r="V12" s="4"/>
      <c r="W12" s="4"/>
      <c r="X12" s="4"/>
      <c r="Y12" s="4"/>
      <c r="Z12"/>
      <c r="AA12" s="12"/>
      <c r="AB12" s="12"/>
      <c r="AC12" s="12"/>
      <c r="AD12" s="12"/>
      <c r="AE12"/>
      <c r="AF12"/>
      <c r="AG12"/>
      <c r="AH12"/>
      <c r="AI12"/>
      <c r="AJ12"/>
      <c r="AK12"/>
      <c r="AL12" s="32"/>
      <c r="AO12" s="120"/>
      <c r="AQ12" s="12"/>
      <c r="AR12" s="12"/>
      <c r="AZ12"/>
      <c r="BA12" s="35"/>
      <c r="BC12" s="120"/>
      <c r="BE12" s="12"/>
      <c r="BF12" s="12"/>
      <c r="BN12"/>
      <c r="BS12" s="12"/>
      <c r="BT12" s="12"/>
      <c r="CB12"/>
      <c r="CG12" s="12"/>
      <c r="CH12" s="12"/>
      <c r="CP12"/>
      <c r="CS12" s="12"/>
      <c r="CT12" s="12"/>
      <c r="DB12"/>
      <c r="DE12" s="12"/>
      <c r="DF12" s="12"/>
      <c r="DN12"/>
      <c r="DQ12" s="12"/>
      <c r="DR12" s="12"/>
      <c r="DZ12"/>
      <c r="EC12" s="12"/>
      <c r="ED12" s="12"/>
      <c r="EL12"/>
      <c r="EO12" s="12"/>
      <c r="EP12" s="12"/>
      <c r="EX12"/>
      <c r="FA12" s="12"/>
      <c r="FB12" s="12"/>
      <c r="FJ12"/>
      <c r="FM12" s="12"/>
      <c r="FN12" s="12"/>
      <c r="FV12"/>
    </row>
    <row r="13" spans="1:178" s="25" customFormat="1" x14ac:dyDescent="0.25">
      <c r="A13"/>
      <c r="B13" s="10"/>
      <c r="C13" s="10"/>
      <c r="D13" s="10"/>
      <c r="E13" s="3"/>
      <c r="F13" s="4"/>
      <c r="G13" s="4"/>
      <c r="H13" s="4"/>
      <c r="I13" s="4"/>
      <c r="J13" s="4"/>
      <c r="K13" s="4"/>
      <c r="L13" s="6"/>
      <c r="M13" s="6"/>
      <c r="N13" s="32"/>
      <c r="O13" s="6"/>
      <c r="P13" s="6"/>
      <c r="Q13" s="6"/>
      <c r="R13" s="4"/>
      <c r="S13" s="4"/>
      <c r="T13" s="4"/>
      <c r="U13" s="4"/>
      <c r="V13" s="4"/>
      <c r="W13" s="4"/>
      <c r="X13" s="4"/>
      <c r="Y13" s="4"/>
      <c r="Z13"/>
      <c r="AA13" s="12"/>
      <c r="AB13" s="12"/>
      <c r="AC13" s="12"/>
      <c r="AD13" s="12"/>
      <c r="AE13"/>
      <c r="AF13"/>
      <c r="AG13"/>
      <c r="AH13"/>
      <c r="AI13"/>
      <c r="AJ13"/>
      <c r="AK13"/>
      <c r="AL13" s="32"/>
      <c r="AO13" s="120"/>
      <c r="AQ13" s="12"/>
      <c r="AR13" s="12"/>
      <c r="AZ13"/>
      <c r="BA13" s="35"/>
      <c r="BC13" s="120"/>
      <c r="BE13" s="12"/>
      <c r="BF13" s="12"/>
      <c r="BN13"/>
      <c r="BS13" s="12"/>
      <c r="BT13" s="12"/>
      <c r="CB13"/>
      <c r="CG13" s="12"/>
      <c r="CH13" s="12"/>
      <c r="CP13"/>
      <c r="CS13" s="12"/>
      <c r="CT13" s="12"/>
      <c r="DB13"/>
      <c r="DE13" s="12"/>
      <c r="DF13" s="12"/>
      <c r="DN13"/>
      <c r="DQ13" s="12"/>
      <c r="DR13" s="12"/>
      <c r="DZ13"/>
      <c r="EC13" s="12"/>
      <c r="ED13" s="12"/>
      <c r="EL13"/>
      <c r="EO13" s="12"/>
      <c r="EP13" s="12"/>
      <c r="EX13"/>
      <c r="FA13" s="12"/>
      <c r="FB13" s="12"/>
      <c r="FJ13"/>
      <c r="FM13" s="12"/>
      <c r="FN13" s="12"/>
      <c r="FV13"/>
    </row>
    <row r="14" spans="1:178" s="25" customFormat="1" x14ac:dyDescent="0.25">
      <c r="A14"/>
      <c r="B14" s="10"/>
      <c r="C14" s="10"/>
      <c r="D14" s="10"/>
      <c r="E14" s="3"/>
      <c r="F14" s="4"/>
      <c r="G14" s="4"/>
      <c r="H14" s="4"/>
      <c r="I14" s="4"/>
      <c r="J14" s="4"/>
      <c r="K14" s="4"/>
      <c r="L14" s="6"/>
      <c r="M14" s="6"/>
      <c r="N14" s="32"/>
      <c r="O14" s="6"/>
      <c r="P14" s="6"/>
      <c r="Q14" s="6"/>
      <c r="R14" s="4"/>
      <c r="S14" s="4"/>
      <c r="T14" s="4"/>
      <c r="U14" s="4"/>
      <c r="V14" s="4"/>
      <c r="W14" s="4"/>
      <c r="X14" s="4"/>
      <c r="Y14" s="4"/>
      <c r="Z14"/>
      <c r="AA14" s="12"/>
      <c r="AB14" s="12"/>
      <c r="AC14" s="12"/>
      <c r="AD14" s="12"/>
      <c r="AE14"/>
      <c r="AF14"/>
      <c r="AG14"/>
      <c r="AH14"/>
      <c r="AI14"/>
      <c r="AJ14"/>
      <c r="AK14"/>
      <c r="AL14" s="32"/>
      <c r="AO14" s="120"/>
      <c r="AQ14" s="12"/>
      <c r="AR14" s="12"/>
      <c r="AZ14"/>
      <c r="BA14" s="35"/>
      <c r="BC14" s="120"/>
      <c r="BE14" s="12"/>
      <c r="BF14" s="12"/>
      <c r="BN14"/>
      <c r="BS14" s="12"/>
      <c r="BT14" s="12"/>
      <c r="CB14"/>
      <c r="CG14" s="12"/>
      <c r="CH14" s="12"/>
      <c r="CP14"/>
      <c r="CS14" s="12"/>
      <c r="CT14" s="12"/>
      <c r="DB14"/>
      <c r="DE14" s="12"/>
      <c r="DF14" s="12"/>
      <c r="DN14"/>
      <c r="DQ14" s="12"/>
      <c r="DR14" s="12"/>
      <c r="DZ14"/>
      <c r="EC14" s="12"/>
      <c r="ED14" s="12"/>
      <c r="EL14"/>
      <c r="EO14" s="12"/>
      <c r="EP14" s="12"/>
      <c r="EX14"/>
      <c r="FA14" s="12"/>
      <c r="FB14" s="12"/>
      <c r="FJ14"/>
      <c r="FM14" s="12"/>
      <c r="FN14" s="12"/>
      <c r="FV14"/>
    </row>
    <row r="15" spans="1:178" s="25" customFormat="1" x14ac:dyDescent="0.25">
      <c r="A15"/>
      <c r="B15" s="10"/>
      <c r="C15" s="10"/>
      <c r="D15" s="10"/>
      <c r="E15" s="3"/>
      <c r="F15" s="4"/>
      <c r="G15" s="4"/>
      <c r="H15" s="4"/>
      <c r="I15" s="4"/>
      <c r="J15" s="4"/>
      <c r="K15" s="4"/>
      <c r="L15" s="6"/>
      <c r="M15" s="6"/>
      <c r="N15" s="32"/>
      <c r="O15" s="6"/>
      <c r="P15" s="6"/>
      <c r="Q15" s="6"/>
      <c r="R15" s="4"/>
      <c r="S15" s="4"/>
      <c r="T15" s="4"/>
      <c r="U15" s="4"/>
      <c r="V15" s="4"/>
      <c r="W15" s="4"/>
      <c r="X15" s="4"/>
      <c r="Y15" s="4"/>
      <c r="Z15"/>
      <c r="AA15" s="12"/>
      <c r="AB15" s="12"/>
      <c r="AC15" s="12"/>
      <c r="AD15" s="12"/>
      <c r="AE15"/>
      <c r="AF15"/>
      <c r="AG15"/>
      <c r="AH15"/>
      <c r="AI15"/>
      <c r="AJ15"/>
      <c r="AK15"/>
      <c r="AL15" s="32"/>
      <c r="AO15" s="120"/>
      <c r="AQ15" s="12"/>
      <c r="AR15" s="12"/>
      <c r="AZ15"/>
      <c r="BA15" s="35"/>
      <c r="BC15" s="120"/>
      <c r="BE15" s="12"/>
      <c r="BF15" s="12"/>
      <c r="BN15"/>
      <c r="BS15" s="12"/>
      <c r="BT15" s="12"/>
      <c r="CB15"/>
      <c r="CG15" s="12"/>
      <c r="CH15" s="12"/>
      <c r="CP15"/>
      <c r="CS15" s="12"/>
      <c r="CT15" s="12"/>
      <c r="DB15"/>
      <c r="DE15" s="12"/>
      <c r="DF15" s="12"/>
      <c r="DN15"/>
      <c r="DQ15" s="12"/>
      <c r="DR15" s="12"/>
      <c r="DZ15"/>
      <c r="EC15" s="12"/>
      <c r="ED15" s="12"/>
      <c r="EL15"/>
      <c r="EO15" s="12"/>
      <c r="EP15" s="12"/>
      <c r="EX15"/>
      <c r="FA15" s="12"/>
      <c r="FB15" s="12"/>
      <c r="FJ15"/>
      <c r="FM15" s="12"/>
      <c r="FN15" s="12"/>
      <c r="FV15"/>
    </row>
    <row r="16" spans="1:178" s="25" customFormat="1" x14ac:dyDescent="0.25">
      <c r="A16"/>
      <c r="B16" s="10"/>
      <c r="C16" s="10"/>
      <c r="D16" s="10"/>
      <c r="E16" s="3"/>
      <c r="F16" s="4"/>
      <c r="G16" s="4"/>
      <c r="H16" s="4"/>
      <c r="I16" s="4"/>
      <c r="J16" s="4"/>
      <c r="K16" s="4"/>
      <c r="L16" s="6"/>
      <c r="M16" s="6"/>
      <c r="N16" s="32"/>
      <c r="O16" s="6"/>
      <c r="P16" s="6"/>
      <c r="Q16" s="6"/>
      <c r="R16" s="4"/>
      <c r="S16" s="4"/>
      <c r="T16" s="4"/>
      <c r="U16" s="4"/>
      <c r="V16" s="4"/>
      <c r="W16" s="4"/>
      <c r="X16" s="4"/>
      <c r="Y16" s="4"/>
      <c r="Z16"/>
      <c r="AA16" s="12"/>
      <c r="AB16" s="12"/>
      <c r="AC16" s="12"/>
      <c r="AD16" s="12"/>
      <c r="AE16"/>
      <c r="AF16"/>
      <c r="AG16"/>
      <c r="AH16"/>
      <c r="AI16"/>
      <c r="AJ16"/>
      <c r="AK16"/>
      <c r="AL16" s="32"/>
      <c r="AO16" s="120"/>
      <c r="AQ16" s="12"/>
      <c r="AR16" s="12"/>
      <c r="AZ16"/>
      <c r="BA16" s="35"/>
      <c r="BC16" s="120"/>
      <c r="BE16" s="12"/>
      <c r="BF16" s="12"/>
      <c r="BN16"/>
      <c r="BS16" s="12"/>
      <c r="BT16" s="12"/>
      <c r="CB16"/>
      <c r="CG16" s="12"/>
      <c r="CH16" s="12"/>
      <c r="CP16"/>
      <c r="CS16" s="12"/>
      <c r="CT16" s="12"/>
      <c r="DB16"/>
      <c r="DE16" s="12"/>
      <c r="DF16" s="12"/>
      <c r="DN16"/>
      <c r="DQ16" s="12"/>
      <c r="DR16" s="12"/>
      <c r="DZ16"/>
      <c r="EC16" s="12"/>
      <c r="ED16" s="12"/>
      <c r="EL16"/>
      <c r="EO16" s="12"/>
      <c r="EP16" s="12"/>
      <c r="EX16"/>
      <c r="FA16" s="12"/>
      <c r="FB16" s="12"/>
      <c r="FJ16"/>
      <c r="FM16" s="12"/>
      <c r="FN16" s="12"/>
      <c r="FV16"/>
    </row>
    <row r="17" spans="1:178" s="25" customFormat="1" x14ac:dyDescent="0.25">
      <c r="A17"/>
      <c r="B17" s="10"/>
      <c r="C17" s="10"/>
      <c r="D17" s="10"/>
      <c r="E17" s="3"/>
      <c r="F17" s="4"/>
      <c r="G17" s="4"/>
      <c r="H17" s="4"/>
      <c r="I17" s="4"/>
      <c r="J17" s="4"/>
      <c r="K17" s="4"/>
      <c r="L17" s="6"/>
      <c r="M17" s="6"/>
      <c r="N17" s="32"/>
      <c r="O17" s="6"/>
      <c r="P17" s="6"/>
      <c r="Q17" s="6"/>
      <c r="R17" s="4"/>
      <c r="S17" s="4"/>
      <c r="T17" s="4"/>
      <c r="U17" s="4"/>
      <c r="V17" s="4"/>
      <c r="W17" s="4"/>
      <c r="X17" s="4"/>
      <c r="Y17" s="4"/>
      <c r="Z17"/>
      <c r="AA17" s="12"/>
      <c r="AB17" s="12"/>
      <c r="AC17" s="12"/>
      <c r="AD17" s="12"/>
      <c r="AE17"/>
      <c r="AF17"/>
      <c r="AG17"/>
      <c r="AH17"/>
      <c r="AI17"/>
      <c r="AJ17"/>
      <c r="AK17"/>
      <c r="AL17" s="32"/>
      <c r="AO17" s="120"/>
      <c r="AQ17" s="12"/>
      <c r="AR17" s="12"/>
      <c r="AZ17"/>
      <c r="BA17" s="35"/>
      <c r="BC17" s="120"/>
      <c r="BE17" s="12"/>
      <c r="BF17" s="12"/>
      <c r="BN17"/>
      <c r="BS17" s="12"/>
      <c r="BT17" s="12"/>
      <c r="CB17"/>
      <c r="CG17" s="12"/>
      <c r="CH17" s="12"/>
      <c r="CP17"/>
      <c r="CS17" s="12"/>
      <c r="CT17" s="12"/>
      <c r="DB17"/>
      <c r="DE17" s="12"/>
      <c r="DF17" s="12"/>
      <c r="DN17"/>
      <c r="DQ17" s="12"/>
      <c r="DR17" s="12"/>
      <c r="DZ17"/>
      <c r="EC17" s="12"/>
      <c r="ED17" s="12"/>
      <c r="EL17"/>
      <c r="EO17" s="12"/>
      <c r="EP17" s="12"/>
      <c r="EX17"/>
      <c r="FA17" s="12"/>
      <c r="FB17" s="12"/>
      <c r="FJ17"/>
      <c r="FM17" s="12"/>
      <c r="FN17" s="12"/>
      <c r="FV17"/>
    </row>
    <row r="18" spans="1:178" s="25" customFormat="1" x14ac:dyDescent="0.25">
      <c r="A18"/>
      <c r="B18" s="10"/>
      <c r="C18" s="10"/>
      <c r="D18" s="10"/>
      <c r="E18" s="3"/>
      <c r="F18" s="4"/>
      <c r="G18" s="4"/>
      <c r="H18" s="4"/>
      <c r="I18" s="4"/>
      <c r="J18" s="4"/>
      <c r="K18" s="4"/>
      <c r="L18" s="6"/>
      <c r="M18" s="6"/>
      <c r="N18" s="32"/>
      <c r="O18" s="6"/>
      <c r="P18" s="6"/>
      <c r="Q18" s="6"/>
      <c r="R18" s="4"/>
      <c r="S18" s="4"/>
      <c r="T18" s="4"/>
      <c r="U18" s="4"/>
      <c r="V18" s="4"/>
      <c r="W18" s="4"/>
      <c r="X18" s="4"/>
      <c r="Y18" s="4"/>
      <c r="Z18"/>
      <c r="AA18" s="12"/>
      <c r="AB18" s="12"/>
      <c r="AC18" s="12"/>
      <c r="AD18" s="12"/>
      <c r="AE18"/>
      <c r="AF18"/>
      <c r="AG18"/>
      <c r="AH18"/>
      <c r="AI18"/>
      <c r="AJ18"/>
      <c r="AK18"/>
      <c r="AL18" s="32"/>
      <c r="AO18" s="120"/>
      <c r="AQ18" s="12"/>
      <c r="AR18" s="12"/>
      <c r="AZ18"/>
      <c r="BA18" s="35"/>
      <c r="BC18" s="120"/>
      <c r="BE18" s="12"/>
      <c r="BF18" s="12"/>
      <c r="BN18"/>
      <c r="BS18" s="12"/>
      <c r="BT18" s="12"/>
      <c r="CB18"/>
      <c r="CG18" s="12"/>
      <c r="CH18" s="12"/>
      <c r="CP18"/>
      <c r="CS18" s="12"/>
      <c r="CT18" s="12"/>
      <c r="DB18"/>
      <c r="DE18" s="12"/>
      <c r="DF18" s="12"/>
      <c r="DN18"/>
      <c r="DQ18" s="12"/>
      <c r="DR18" s="12"/>
      <c r="DZ18"/>
      <c r="EC18" s="12"/>
      <c r="ED18" s="12"/>
      <c r="EL18"/>
      <c r="EO18" s="12"/>
      <c r="EP18" s="12"/>
      <c r="EX18"/>
      <c r="FA18" s="12"/>
      <c r="FB18" s="12"/>
      <c r="FJ18"/>
      <c r="FM18" s="12"/>
      <c r="FN18" s="12"/>
      <c r="FV18"/>
    </row>
    <row r="19" spans="1:178" s="25" customFormat="1" x14ac:dyDescent="0.25">
      <c r="A19"/>
      <c r="B19" s="10"/>
      <c r="C19" s="10"/>
      <c r="D19" s="10"/>
      <c r="E19" s="3"/>
      <c r="F19" s="4"/>
      <c r="G19" s="4"/>
      <c r="H19" s="4"/>
      <c r="I19" s="4"/>
      <c r="J19" s="4"/>
      <c r="K19" s="4"/>
      <c r="L19" s="6"/>
      <c r="M19" s="6"/>
      <c r="N19" s="32"/>
      <c r="O19" s="6"/>
      <c r="P19" s="6"/>
      <c r="Q19" s="6"/>
      <c r="R19" s="4"/>
      <c r="S19" s="4"/>
      <c r="T19" s="4"/>
      <c r="U19" s="4"/>
      <c r="V19" s="4"/>
      <c r="W19" s="4"/>
      <c r="X19" s="4"/>
      <c r="Y19" s="4"/>
      <c r="Z19"/>
      <c r="AA19" s="12"/>
      <c r="AB19" s="12"/>
      <c r="AC19" s="12"/>
      <c r="AD19" s="12"/>
      <c r="AE19"/>
      <c r="AF19"/>
      <c r="AG19"/>
      <c r="AH19"/>
      <c r="AI19"/>
      <c r="AJ19"/>
      <c r="AK19"/>
      <c r="AL19" s="32"/>
      <c r="AO19" s="120"/>
      <c r="AQ19" s="12"/>
      <c r="AR19" s="12"/>
      <c r="AZ19"/>
      <c r="BA19" s="35"/>
      <c r="BC19" s="120"/>
      <c r="BE19" s="12"/>
      <c r="BF19" s="12"/>
      <c r="BN19"/>
      <c r="BS19" s="12"/>
      <c r="BT19" s="12"/>
      <c r="CB19"/>
      <c r="CG19" s="12"/>
      <c r="CH19" s="12"/>
      <c r="CP19"/>
      <c r="CS19" s="12"/>
      <c r="CT19" s="12"/>
      <c r="DB19"/>
      <c r="DE19" s="12"/>
      <c r="DF19" s="12"/>
      <c r="DN19"/>
      <c r="DQ19" s="12"/>
      <c r="DR19" s="12"/>
      <c r="DZ19"/>
      <c r="EC19" s="12"/>
      <c r="ED19" s="12"/>
      <c r="EL19"/>
      <c r="EO19" s="12"/>
      <c r="EP19" s="12"/>
      <c r="EX19"/>
      <c r="FA19" s="12"/>
      <c r="FB19" s="12"/>
      <c r="FJ19"/>
      <c r="FM19" s="12"/>
      <c r="FN19" s="12"/>
      <c r="FV19"/>
    </row>
    <row r="20" spans="1:178" s="25" customFormat="1" x14ac:dyDescent="0.25">
      <c r="A20"/>
      <c r="B20" s="10"/>
      <c r="C20" s="10"/>
      <c r="D20" s="10"/>
      <c r="E20" s="3"/>
      <c r="F20" s="4"/>
      <c r="G20" s="4"/>
      <c r="H20" s="4"/>
      <c r="I20" s="4"/>
      <c r="J20" s="4"/>
      <c r="K20" s="4"/>
      <c r="L20" s="6"/>
      <c r="M20" s="6"/>
      <c r="N20" s="32"/>
      <c r="O20" s="6"/>
      <c r="P20" s="6"/>
      <c r="Q20" s="6"/>
      <c r="R20" s="4"/>
      <c r="S20" s="4"/>
      <c r="T20" s="4"/>
      <c r="U20" s="4"/>
      <c r="V20" s="4"/>
      <c r="W20" s="4"/>
      <c r="X20" s="4"/>
      <c r="Y20" s="4"/>
      <c r="Z20"/>
      <c r="AA20" s="12"/>
      <c r="AB20" s="12"/>
      <c r="AC20" s="12"/>
      <c r="AD20" s="12"/>
      <c r="AE20"/>
      <c r="AF20"/>
      <c r="AG20"/>
      <c r="AH20"/>
      <c r="AI20"/>
      <c r="AJ20"/>
      <c r="AK20"/>
      <c r="AL20" s="32"/>
      <c r="AO20" s="120"/>
      <c r="AQ20" s="12"/>
      <c r="AR20" s="12"/>
      <c r="AZ20"/>
      <c r="BA20" s="35"/>
      <c r="BC20" s="120"/>
      <c r="BE20" s="12"/>
      <c r="BF20" s="12"/>
      <c r="BN20"/>
      <c r="BS20" s="12"/>
      <c r="BT20" s="12"/>
      <c r="CB20"/>
      <c r="CG20" s="12"/>
      <c r="CH20" s="12"/>
      <c r="CP20"/>
      <c r="CS20" s="12"/>
      <c r="CT20" s="12"/>
      <c r="DB20"/>
      <c r="DE20" s="12"/>
      <c r="DF20" s="12"/>
      <c r="DN20"/>
      <c r="DQ20" s="12"/>
      <c r="DR20" s="12"/>
      <c r="DZ20"/>
      <c r="EC20" s="12"/>
      <c r="ED20" s="12"/>
      <c r="EL20"/>
      <c r="EO20" s="12"/>
      <c r="EP20" s="12"/>
      <c r="EX20"/>
      <c r="FA20" s="12"/>
      <c r="FB20" s="12"/>
      <c r="FJ20"/>
      <c r="FM20" s="12"/>
      <c r="FN20" s="12"/>
      <c r="FV20"/>
    </row>
    <row r="21" spans="1:178" s="25" customFormat="1" x14ac:dyDescent="0.25">
      <c r="A21"/>
      <c r="B21" s="10"/>
      <c r="C21" s="10"/>
      <c r="D21" s="10"/>
      <c r="E21" s="3"/>
      <c r="F21" s="4"/>
      <c r="G21" s="4"/>
      <c r="H21" s="4"/>
      <c r="I21" s="4"/>
      <c r="J21" s="4"/>
      <c r="K21" s="4"/>
      <c r="L21" s="6"/>
      <c r="M21" s="6"/>
      <c r="N21" s="32"/>
      <c r="O21" s="6"/>
      <c r="P21" s="6"/>
      <c r="Q21" s="6"/>
      <c r="R21" s="4"/>
      <c r="S21" s="4"/>
      <c r="T21" s="4"/>
      <c r="U21" s="4"/>
      <c r="V21" s="4"/>
      <c r="W21" s="4"/>
      <c r="X21" s="4"/>
      <c r="Y21" s="4"/>
      <c r="Z21"/>
      <c r="AA21" s="12"/>
      <c r="AB21" s="12"/>
      <c r="AC21" s="12"/>
      <c r="AD21" s="12"/>
      <c r="AE21"/>
      <c r="AF21"/>
      <c r="AG21"/>
      <c r="AH21"/>
      <c r="AI21"/>
      <c r="AJ21"/>
      <c r="AK21"/>
      <c r="AL21" s="32"/>
      <c r="AO21" s="120"/>
      <c r="AQ21" s="12"/>
      <c r="AR21" s="12"/>
      <c r="AZ21"/>
      <c r="BA21" s="35"/>
      <c r="BC21" s="120"/>
      <c r="BE21" s="12"/>
      <c r="BF21" s="12"/>
      <c r="BN21"/>
      <c r="BS21" s="12"/>
      <c r="BT21" s="12"/>
      <c r="CB21"/>
      <c r="CG21" s="12"/>
      <c r="CH21" s="12"/>
      <c r="CP21"/>
      <c r="CS21" s="12"/>
      <c r="CT21" s="12"/>
      <c r="DB21"/>
      <c r="DE21" s="12"/>
      <c r="DF21" s="12"/>
      <c r="DN21"/>
      <c r="DQ21" s="12"/>
      <c r="DR21" s="12"/>
      <c r="DZ21"/>
      <c r="EC21" s="12"/>
      <c r="ED21" s="12"/>
      <c r="EL21"/>
      <c r="EO21" s="12"/>
      <c r="EP21" s="12"/>
      <c r="EX21"/>
      <c r="FA21" s="12"/>
      <c r="FB21" s="12"/>
      <c r="FJ21"/>
      <c r="FM21" s="12"/>
      <c r="FN21" s="12"/>
      <c r="FV21"/>
    </row>
    <row r="22" spans="1:178" s="25" customFormat="1" x14ac:dyDescent="0.25">
      <c r="A22"/>
      <c r="B22" s="10"/>
      <c r="C22" s="10"/>
      <c r="D22" s="10"/>
      <c r="E22" s="3"/>
      <c r="F22" s="4"/>
      <c r="G22" s="4"/>
      <c r="H22" s="4"/>
      <c r="I22" s="4"/>
      <c r="J22" s="4"/>
      <c r="K22" s="4"/>
      <c r="L22" s="6"/>
      <c r="M22" s="6"/>
      <c r="N22" s="32"/>
      <c r="O22" s="6"/>
      <c r="P22" s="6"/>
      <c r="Q22" s="6"/>
      <c r="R22" s="4"/>
      <c r="S22" s="4"/>
      <c r="T22" s="4"/>
      <c r="U22" s="4"/>
      <c r="V22" s="4"/>
      <c r="W22" s="4"/>
      <c r="X22" s="4"/>
      <c r="Y22" s="4"/>
      <c r="Z22"/>
      <c r="AA22" s="12"/>
      <c r="AB22" s="12"/>
      <c r="AC22" s="12"/>
      <c r="AD22" s="12"/>
      <c r="AE22"/>
      <c r="AF22"/>
      <c r="AG22"/>
      <c r="AH22"/>
      <c r="AI22"/>
      <c r="AJ22"/>
      <c r="AK22"/>
      <c r="AL22" s="32"/>
      <c r="AO22" s="120"/>
      <c r="AQ22" s="12"/>
      <c r="AR22" s="12"/>
      <c r="AZ22"/>
      <c r="BA22" s="35"/>
      <c r="BC22" s="120"/>
      <c r="BE22" s="12"/>
      <c r="BF22" s="12"/>
      <c r="BN22"/>
      <c r="BS22" s="12"/>
      <c r="BT22" s="12"/>
      <c r="CB22"/>
      <c r="CG22" s="12"/>
      <c r="CH22" s="12"/>
      <c r="CP22"/>
      <c r="CS22" s="12"/>
      <c r="CT22" s="12"/>
      <c r="DB22"/>
      <c r="DE22" s="12"/>
      <c r="DF22" s="12"/>
      <c r="DN22"/>
      <c r="DQ22" s="12"/>
      <c r="DR22" s="12"/>
      <c r="DZ22"/>
      <c r="EC22" s="12"/>
      <c r="ED22" s="12"/>
      <c r="EL22"/>
      <c r="EO22" s="12"/>
      <c r="EP22" s="12"/>
      <c r="EX22"/>
      <c r="FA22" s="12"/>
      <c r="FB22" s="12"/>
      <c r="FJ22"/>
      <c r="FM22" s="12"/>
      <c r="FN22" s="12"/>
      <c r="FV22"/>
    </row>
    <row r="23" spans="1:178" s="25" customFormat="1" x14ac:dyDescent="0.25">
      <c r="A23"/>
      <c r="B23" s="10"/>
      <c r="C23" s="10"/>
      <c r="D23" s="10"/>
      <c r="E23" s="3"/>
      <c r="F23" s="4"/>
      <c r="G23" s="4"/>
      <c r="H23" s="4"/>
      <c r="I23" s="4"/>
      <c r="J23" s="4"/>
      <c r="K23" s="4"/>
      <c r="L23" s="6"/>
      <c r="M23" s="6"/>
      <c r="N23" s="32"/>
      <c r="O23" s="6"/>
      <c r="P23" s="6"/>
      <c r="Q23" s="6"/>
      <c r="R23" s="4"/>
      <c r="S23" s="4"/>
      <c r="T23" s="4"/>
      <c r="U23" s="4"/>
      <c r="V23" s="4"/>
      <c r="W23" s="4"/>
      <c r="X23" s="4"/>
      <c r="Y23" s="4"/>
      <c r="Z23"/>
      <c r="AA23" s="12"/>
      <c r="AB23" s="12"/>
      <c r="AC23" s="12"/>
      <c r="AD23" s="12"/>
      <c r="AE23"/>
      <c r="AF23"/>
      <c r="AG23"/>
      <c r="AH23"/>
      <c r="AI23"/>
      <c r="AJ23"/>
      <c r="AK23"/>
      <c r="AL23" s="32"/>
      <c r="AO23" s="120"/>
      <c r="AQ23" s="12"/>
      <c r="AR23" s="12"/>
      <c r="AZ23"/>
      <c r="BA23" s="35"/>
      <c r="BC23" s="120"/>
      <c r="BE23" s="12"/>
      <c r="BF23" s="12"/>
      <c r="BN23"/>
      <c r="BS23" s="12"/>
      <c r="BT23" s="12"/>
      <c r="CB23"/>
      <c r="CG23" s="12"/>
      <c r="CH23" s="12"/>
      <c r="CP23"/>
      <c r="CS23" s="12"/>
      <c r="CT23" s="12"/>
      <c r="DB23"/>
      <c r="DE23" s="12"/>
      <c r="DF23" s="12"/>
      <c r="DN23"/>
      <c r="DQ23" s="12"/>
      <c r="DR23" s="12"/>
      <c r="DZ23"/>
      <c r="EC23" s="12"/>
      <c r="ED23" s="12"/>
      <c r="EL23"/>
      <c r="EO23" s="12"/>
      <c r="EP23" s="12"/>
      <c r="EX23"/>
      <c r="FA23" s="12"/>
      <c r="FB23" s="12"/>
      <c r="FJ23"/>
      <c r="FM23" s="12"/>
      <c r="FN23" s="12"/>
      <c r="FV23"/>
    </row>
    <row r="24" spans="1:178" s="25" customFormat="1" x14ac:dyDescent="0.25">
      <c r="A24"/>
      <c r="B24" s="10"/>
      <c r="C24" s="10"/>
      <c r="D24" s="10"/>
      <c r="E24" s="3"/>
      <c r="F24" s="4"/>
      <c r="G24" s="4"/>
      <c r="H24" s="4"/>
      <c r="I24" s="4"/>
      <c r="J24" s="4"/>
      <c r="K24" s="4"/>
      <c r="L24" s="6"/>
      <c r="M24" s="6"/>
      <c r="N24" s="32"/>
      <c r="O24" s="6"/>
      <c r="P24" s="6"/>
      <c r="Q24" s="6"/>
      <c r="R24" s="4"/>
      <c r="S24" s="4"/>
      <c r="T24" s="4"/>
      <c r="U24" s="4"/>
      <c r="V24" s="4"/>
      <c r="W24" s="4"/>
      <c r="X24" s="4"/>
      <c r="Y24" s="4"/>
      <c r="Z24"/>
      <c r="AA24" s="12"/>
      <c r="AB24" s="12"/>
      <c r="AC24" s="12"/>
      <c r="AD24" s="12"/>
      <c r="AE24"/>
      <c r="AF24"/>
      <c r="AG24"/>
      <c r="AH24"/>
      <c r="AI24"/>
      <c r="AJ24"/>
      <c r="AK24"/>
      <c r="AL24" s="32"/>
      <c r="AO24" s="120"/>
      <c r="AQ24" s="12"/>
      <c r="AR24" s="12"/>
      <c r="AZ24"/>
      <c r="BA24" s="35"/>
      <c r="BC24" s="120"/>
      <c r="BE24" s="12"/>
      <c r="BF24" s="12"/>
      <c r="BN24"/>
      <c r="BS24" s="12"/>
      <c r="BT24" s="12"/>
      <c r="CB24"/>
      <c r="CG24" s="12"/>
      <c r="CH24" s="12"/>
      <c r="CP24"/>
      <c r="CS24" s="12"/>
      <c r="CT24" s="12"/>
      <c r="DB24"/>
      <c r="DE24" s="12"/>
      <c r="DF24" s="12"/>
      <c r="DN24"/>
      <c r="DQ24" s="12"/>
      <c r="DR24" s="12"/>
      <c r="DZ24"/>
      <c r="EC24" s="12"/>
      <c r="ED24" s="12"/>
      <c r="EL24"/>
      <c r="EO24" s="12"/>
      <c r="EP24" s="12"/>
      <c r="EX24"/>
      <c r="FA24" s="12"/>
      <c r="FB24" s="12"/>
      <c r="FJ24"/>
      <c r="FM24" s="12"/>
      <c r="FN24" s="12"/>
      <c r="FV24"/>
    </row>
    <row r="25" spans="1:178" s="25" customFormat="1" x14ac:dyDescent="0.25">
      <c r="A25"/>
      <c r="B25" s="10"/>
      <c r="C25" s="10"/>
      <c r="D25" s="10"/>
      <c r="E25" s="3"/>
      <c r="F25" s="4"/>
      <c r="G25" s="4"/>
      <c r="H25" s="4"/>
      <c r="I25" s="4"/>
      <c r="J25" s="4"/>
      <c r="K25" s="4"/>
      <c r="L25" s="6"/>
      <c r="M25" s="6"/>
      <c r="N25" s="32"/>
      <c r="O25" s="6"/>
      <c r="P25" s="6"/>
      <c r="Q25" s="6"/>
      <c r="R25" s="4"/>
      <c r="S25" s="4"/>
      <c r="T25" s="4"/>
      <c r="U25" s="4"/>
      <c r="V25" s="4"/>
      <c r="W25" s="4"/>
      <c r="X25" s="4"/>
      <c r="Y25" s="4"/>
      <c r="Z25"/>
      <c r="AA25" s="12"/>
      <c r="AB25" s="12"/>
      <c r="AC25" s="12"/>
      <c r="AD25" s="12"/>
      <c r="AE25"/>
      <c r="AF25"/>
      <c r="AG25"/>
      <c r="AH25"/>
      <c r="AI25"/>
      <c r="AJ25"/>
      <c r="AK25"/>
      <c r="AL25" s="32"/>
      <c r="AO25" s="120"/>
      <c r="AQ25" s="12"/>
      <c r="AR25" s="12"/>
      <c r="AZ25"/>
      <c r="BA25" s="35"/>
      <c r="BC25" s="120"/>
      <c r="BE25" s="12"/>
      <c r="BF25" s="12"/>
      <c r="BN25"/>
      <c r="BS25" s="12"/>
      <c r="BT25" s="12"/>
      <c r="CB25"/>
      <c r="CG25" s="12"/>
      <c r="CH25" s="12"/>
      <c r="CP25"/>
      <c r="CS25" s="12"/>
      <c r="CT25" s="12"/>
      <c r="DB25"/>
      <c r="DE25" s="12"/>
      <c r="DF25" s="12"/>
      <c r="DN25"/>
      <c r="DQ25" s="12"/>
      <c r="DR25" s="12"/>
      <c r="DZ25"/>
      <c r="EC25" s="12"/>
      <c r="ED25" s="12"/>
      <c r="EL25"/>
      <c r="EO25" s="12"/>
      <c r="EP25" s="12"/>
      <c r="EX25"/>
      <c r="FA25" s="12"/>
      <c r="FB25" s="12"/>
      <c r="FJ25"/>
      <c r="FM25" s="12"/>
      <c r="FN25" s="12"/>
      <c r="FV25"/>
    </row>
  </sheetData>
  <autoFilter ref="A4:FV6" xr:uid="{00000000-0009-0000-0000-000000000000}">
    <filterColumn colId="17" showButton="0"/>
  </autoFilter>
  <dataConsolidate/>
  <mergeCells count="52">
    <mergeCell ref="Z2:AD3"/>
    <mergeCell ref="AE2:AK3"/>
    <mergeCell ref="H3:H4"/>
    <mergeCell ref="I3:I4"/>
    <mergeCell ref="J3:J4"/>
    <mergeCell ref="K3:K4"/>
    <mergeCell ref="B1:J2"/>
    <mergeCell ref="K1:Q1"/>
    <mergeCell ref="R1:Y1"/>
    <mergeCell ref="R3:S4"/>
    <mergeCell ref="U3:U4"/>
    <mergeCell ref="V3:V4"/>
    <mergeCell ref="W3:W4"/>
    <mergeCell ref="X3:Y3"/>
    <mergeCell ref="K2:M2"/>
    <mergeCell ref="T3:T4"/>
    <mergeCell ref="DG2:DM3"/>
    <mergeCell ref="AL2:AR3"/>
    <mergeCell ref="AS2:AY3"/>
    <mergeCell ref="AZ2:BF3"/>
    <mergeCell ref="BG2:BM3"/>
    <mergeCell ref="BN2:BT3"/>
    <mergeCell ref="BU2:CA3"/>
    <mergeCell ref="CB2:CH3"/>
    <mergeCell ref="CI2:CO3"/>
    <mergeCell ref="CP2:CT3"/>
    <mergeCell ref="CU2:DA3"/>
    <mergeCell ref="DB2:DF3"/>
    <mergeCell ref="EX2:FB3"/>
    <mergeCell ref="FC2:FI3"/>
    <mergeCell ref="FJ2:FN3"/>
    <mergeCell ref="FO2:FU3"/>
    <mergeCell ref="B3:B4"/>
    <mergeCell ref="C3:C4"/>
    <mergeCell ref="D3:D4"/>
    <mergeCell ref="E3:E4"/>
    <mergeCell ref="F3:F4"/>
    <mergeCell ref="G3:G4"/>
    <mergeCell ref="DN2:DR3"/>
    <mergeCell ref="DS2:DY3"/>
    <mergeCell ref="DZ2:ED3"/>
    <mergeCell ref="EE2:EK3"/>
    <mergeCell ref="EL2:EP3"/>
    <mergeCell ref="EQ2:EW3"/>
    <mergeCell ref="Q3:Q4"/>
    <mergeCell ref="N2:Q2"/>
    <mergeCell ref="R2:Y2"/>
    <mergeCell ref="L3:L4"/>
    <mergeCell ref="M3:M4"/>
    <mergeCell ref="N3:N4"/>
    <mergeCell ref="O3:O4"/>
    <mergeCell ref="P3:P4"/>
  </mergeCells>
  <phoneticPr fontId="14" type="noConversion"/>
  <conditionalFormatting sqref="S7:T30 S5:T5">
    <cfRule type="containsText" dxfId="3138" priority="6105" operator="containsText" text="AN">
      <formula>NOT(ISERROR(SEARCH("AN",S5)))</formula>
    </cfRule>
  </conditionalFormatting>
  <conditionalFormatting sqref="X5">
    <cfRule type="containsText" dxfId="3137" priority="6102" operator="containsText" text="HI">
      <formula>NOT(ISERROR(SEARCH("HI",X5)))</formula>
    </cfRule>
    <cfRule type="containsText" dxfId="3136" priority="6103" operator="containsText" text="LO">
      <formula>NOT(ISERROR(SEARCH("LO",X5)))</formula>
    </cfRule>
    <cfRule type="cellIs" dxfId="3135" priority="6104" operator="greaterThan">
      <formula>200</formula>
    </cfRule>
  </conditionalFormatting>
  <conditionalFormatting sqref="L5">
    <cfRule type="cellIs" dxfId="3134" priority="6101" operator="greaterThan">
      <formula>24.99</formula>
    </cfRule>
  </conditionalFormatting>
  <conditionalFormatting sqref="R7:R86 Z5:AA5 X5 R5">
    <cfRule type="containsText" dxfId="3133" priority="6100" operator="containsText" text="pend.">
      <formula>NOT(ISERROR(SEARCH("pend.",R5)))</formula>
    </cfRule>
  </conditionalFormatting>
  <conditionalFormatting sqref="O5:Q5 AZ5 FJ5 EX5 DN5 DZ5 EL5 DB5 CP5 CB5 BN5 AL5 M5">
    <cfRule type="containsText" dxfId="3132" priority="6095" operator="containsText" text="Normal">
      <formula>NOT(ISERROR(SEARCH("Normal",M5)))</formula>
    </cfRule>
    <cfRule type="containsText" dxfId="3131" priority="6096" operator="containsText" text="Obesidad Grado III">
      <formula>NOT(ISERROR(SEARCH("Obesidad Grado III",M5)))</formula>
    </cfRule>
    <cfRule type="containsText" dxfId="3130" priority="6097" operator="containsText" text="Obesidad Grado II">
      <formula>NOT(ISERROR(SEARCH("Obesidad Grado II",M5)))</formula>
    </cfRule>
    <cfRule type="containsText" dxfId="3129" priority="6098" operator="containsText" text="Obesidad Grado I">
      <formula>NOT(ISERROR(SEARCH("Obesidad Grado I",M5)))</formula>
    </cfRule>
    <cfRule type="containsText" dxfId="3128" priority="6099" operator="containsText" text="sobrepeso">
      <formula>NOT(ISERROR(SEARCH("sobrepeso",M5)))</formula>
    </cfRule>
  </conditionalFormatting>
  <conditionalFormatting sqref="BT5 DO5 CQ5 BO5 CC5 DC5 EM5 AQ5:AR5 EY5 CS5:CT5 DE5:DF5 EC5:ED5 EO5:EP5 FK5 DQ5:DR5 FA5:FB5 FM5:FN5 AC5:AD5 BF5 CG5:CH5">
    <cfRule type="containsText" dxfId="3127" priority="6089" operator="containsText" text="MODERADO">
      <formula>NOT(ISERROR(SEARCH("MODERADO",AC5)))</formula>
    </cfRule>
    <cfRule type="containsText" dxfId="3126" priority="6090" operator="containsText" text="SANO">
      <formula>NOT(ISERROR(SEARCH("SANO",AC5)))</formula>
    </cfRule>
    <cfRule type="containsText" dxfId="3125" priority="6091" operator="containsText" text="ALTO">
      <formula>NOT(ISERROR(SEARCH("ALTO",AC5)))</formula>
    </cfRule>
    <cfRule type="containsText" dxfId="3124" priority="6092" operator="containsText" text="BAJO">
      <formula>NOT(ISERROR(SEARCH("BAJO",AC5)))</formula>
    </cfRule>
    <cfRule type="containsText" dxfId="3123" priority="6093" operator="containsText" text="FALTA">
      <formula>NOT(ISERROR(SEARCH("FALTA",AC5)))</formula>
    </cfRule>
  </conditionalFormatting>
  <conditionalFormatting sqref="DN5:DO5 EL5:EM5 CP5:CQ5 BN5:BO5 CB5:CC5 DB5:DC5 BT5 AQ5:AR5 AZ5 DZ5 AL5 FJ5:FK5 EX5:EY5 CS5:CT5 DE5:DF5 EC5:ED5 EO5:EP5 DQ5:DR5 FA5:FB5 FM5:FN5 AC5:AD5 BF5 CG5:CH5">
    <cfRule type="containsText" dxfId="3122" priority="6088" operator="containsText" text="N/A">
      <formula>NOT(ISERROR(SEARCH("N/A",AC5)))</formula>
    </cfRule>
  </conditionalFormatting>
  <conditionalFormatting sqref="DO5 CQ5 EM5 DC5 CC5 BO5 EY5 FK5">
    <cfRule type="containsText" dxfId="3121" priority="6087" operator="containsText" text="N/A">
      <formula>NOT(ISERROR(SEARCH("N/A",BO5)))</formula>
    </cfRule>
  </conditionalFormatting>
  <conditionalFormatting sqref="AM5">
    <cfRule type="containsText" dxfId="3120" priority="6058" operator="containsText" text="FALTA">
      <formula>NOT(ISERROR(SEARCH("FALTA",AM5)))</formula>
    </cfRule>
  </conditionalFormatting>
  <conditionalFormatting sqref="AM5">
    <cfRule type="containsText" dxfId="3119" priority="6053" operator="containsText" text="MODERADO">
      <formula>NOT(ISERROR(SEARCH("MODERADO",AM5)))</formula>
    </cfRule>
    <cfRule type="containsText" dxfId="3118" priority="6054" operator="containsText" text="SANO">
      <formula>NOT(ISERROR(SEARCH("SANO",AM5)))</formula>
    </cfRule>
    <cfRule type="containsText" dxfId="3117" priority="6055" operator="containsText" text="ALTO">
      <formula>NOT(ISERROR(SEARCH("ALTO",AM5)))</formula>
    </cfRule>
    <cfRule type="containsText" dxfId="3116" priority="6056" operator="containsText" text="BAJO">
      <formula>NOT(ISERROR(SEARCH("BAJO",AM5)))</formula>
    </cfRule>
    <cfRule type="containsText" dxfId="3115" priority="6057" operator="containsText" text="FALTA">
      <formula>NOT(ISERROR(SEARCH("FALTA",AM5)))</formula>
    </cfRule>
  </conditionalFormatting>
  <conditionalFormatting sqref="AM5">
    <cfRule type="containsText" dxfId="3114" priority="6052" operator="containsText" text="N/A">
      <formula>NOT(ISERROR(SEARCH("N/A",AM5)))</formula>
    </cfRule>
  </conditionalFormatting>
  <conditionalFormatting sqref="BE4:BF4 BS4:BT4 BT5 BE6:BF1048576 AQ4:AR1048576 FM4:FN1048576 FL5 EZ5 DP5 EB5 EN5 DD5 CR5 AC4:AD1048576 AN5:AP5 AB5 BB5:BD5 BF5 BP5:BR5 CD5:CF5 FA4:FB1048576 EO4:EP1048576 EC4:ED1048576 CS4:CT1048576 BS6:BT1048576 CG4:CH1048576 DQ4:DR1048576 DE4:DF1048576">
    <cfRule type="containsText" dxfId="3113" priority="6048" operator="containsText" text="MEDIO">
      <formula>NOT(ISERROR(SEARCH("MEDIO",AB4)))</formula>
    </cfRule>
  </conditionalFormatting>
  <conditionalFormatting sqref="FL5 EZ5 DP5 EB5 EN5 DD5 CR5 AN5:AP5 AB5 BB5:BD5 BP5:BR5 CD5:CF5">
    <cfRule type="containsText" dxfId="3112" priority="6045" operator="containsText" text="SANO">
      <formula>NOT(ISERROR(SEARCH("SANO",AB5)))</formula>
    </cfRule>
    <cfRule type="containsText" dxfId="3111" priority="6046" operator="containsText" text="ALTO">
      <formula>NOT(ISERROR(SEARCH("ALTO",AB5)))</formula>
    </cfRule>
    <cfRule type="containsText" dxfId="3110" priority="6047" operator="containsText" text="FALTA">
      <formula>NOT(ISERROR(SEARCH("FALTA",AB5)))</formula>
    </cfRule>
  </conditionalFormatting>
  <conditionalFormatting sqref="EA5">
    <cfRule type="containsText" dxfId="3109" priority="5655" operator="containsText" text="MODERADO">
      <formula>NOT(ISERROR(SEARCH("MODERADO",EA5)))</formula>
    </cfRule>
    <cfRule type="containsText" dxfId="3108" priority="5656" operator="containsText" text="SANO">
      <formula>NOT(ISERROR(SEARCH("SANO",EA5)))</formula>
    </cfRule>
    <cfRule type="containsText" dxfId="3107" priority="5657" operator="containsText" text="ALTO">
      <formula>NOT(ISERROR(SEARCH("ALTO",EA5)))</formula>
    </cfRule>
    <cfRule type="containsText" dxfId="3106" priority="5658" operator="containsText" text="BAJO">
      <formula>NOT(ISERROR(SEARCH("BAJO",EA5)))</formula>
    </cfRule>
    <cfRule type="containsText" dxfId="3105" priority="5659" operator="containsText" text="FALTA">
      <formula>NOT(ISERROR(SEARCH("FALTA",EA5)))</formula>
    </cfRule>
  </conditionalFormatting>
  <conditionalFormatting sqref="EA5">
    <cfRule type="containsText" dxfId="3104" priority="5654" operator="containsText" text="N/A">
      <formula>NOT(ISERROR(SEARCH("N/A",EA5)))</formula>
    </cfRule>
  </conditionalFormatting>
  <conditionalFormatting sqref="EA5">
    <cfRule type="containsText" dxfId="3103" priority="5653" operator="containsText" text="N/A">
      <formula>NOT(ISERROR(SEARCH("N/A",EA5)))</formula>
    </cfRule>
  </conditionalFormatting>
  <conditionalFormatting sqref="Y2 Y6:Y1048576">
    <cfRule type="cellIs" dxfId="3102" priority="5325" operator="greaterThan">
      <formula>"139/089"</formula>
    </cfRule>
  </conditionalFormatting>
  <conditionalFormatting sqref="X2 X5:X1048576">
    <cfRule type="cellIs" dxfId="3101" priority="5324" operator="greaterThan">
      <formula>139</formula>
    </cfRule>
  </conditionalFormatting>
  <conditionalFormatting sqref="Y5">
    <cfRule type="cellIs" dxfId="3100" priority="5323" operator="greaterThan">
      <formula>89</formula>
    </cfRule>
  </conditionalFormatting>
  <conditionalFormatting sqref="V2 V5:V1048576">
    <cfRule type="cellIs" dxfId="3099" priority="5322" operator="greaterThan">
      <formula>239</formula>
    </cfRule>
  </conditionalFormatting>
  <conditionalFormatting sqref="BA5 K5 AM4:AM1048576">
    <cfRule type="containsText" dxfId="3098" priority="5317" operator="containsText" text="Val. Trimestral">
      <formula>NOT(ISERROR(SEARCH("Val. Trimestral",K4)))</formula>
    </cfRule>
  </conditionalFormatting>
  <conditionalFormatting sqref="W3:W4 A3:V3 B6:V6 X10:AK10 B7 B139:V1048576 B8:Q138 U7:V138 R7:T86 F7:Q7 X2:BC3 X11:BC1048576 AM10:BC10 A4:S4 U4:V4 K2:V2 A2 B1 X4:AO4 AQ4:BC4 BE6:XFD1048576 BE2:XFD3 G5:T5 BE4:BP4 BS4:CD4 BF5:BR5 CG4:XFD4 BT5:XFD5 A5:A1048576 BD5:BD1048576 X5:BC9">
    <cfRule type="containsText" dxfId="3097" priority="5181" operator="containsText" text="R. MODERADO">
      <formula>NOT(ISERROR(SEARCH("R. MODERADO",A1)))</formula>
    </cfRule>
  </conditionalFormatting>
  <conditionalFormatting sqref="W2 W6:W1048576">
    <cfRule type="cellIs" dxfId="3096" priority="5165" operator="greaterThanOrEqual">
      <formula>200</formula>
    </cfRule>
  </conditionalFormatting>
  <conditionalFormatting sqref="U5">
    <cfRule type="cellIs" dxfId="3095" priority="5164" operator="greaterThan">
      <formula>116</formula>
    </cfRule>
  </conditionalFormatting>
  <conditionalFormatting sqref="W5">
    <cfRule type="cellIs" dxfId="3094" priority="5163" operator="greaterThan">
      <formula>200</formula>
    </cfRule>
  </conditionalFormatting>
  <conditionalFormatting sqref="U5:W5">
    <cfRule type="containsText" dxfId="3093" priority="5160" operator="containsText" text="PEND">
      <formula>NOT(ISERROR(SEARCH("PEND",U5)))</formula>
    </cfRule>
    <cfRule type="containsText" dxfId="3092" priority="5161" operator="containsText" text="HI">
      <formula>NOT(ISERROR(SEARCH("HI",U5)))</formula>
    </cfRule>
    <cfRule type="containsText" dxfId="3091" priority="5162" operator="containsText" text="LO">
      <formula>NOT(ISERROR(SEARCH("LO",U5)))</formula>
    </cfRule>
  </conditionalFormatting>
  <conditionalFormatting sqref="BA5">
    <cfRule type="containsText" dxfId="3090" priority="5118" operator="containsText" text="FALTA">
      <formula>NOT(ISERROR(SEARCH("FALTA",BA5)))</formula>
    </cfRule>
  </conditionalFormatting>
  <conditionalFormatting sqref="BA5">
    <cfRule type="containsText" dxfId="3089" priority="5113" operator="containsText" text="MODERADO">
      <formula>NOT(ISERROR(SEARCH("MODERADO",BA5)))</formula>
    </cfRule>
    <cfRule type="containsText" dxfId="3088" priority="5114" operator="containsText" text="SANO">
      <formula>NOT(ISERROR(SEARCH("SANO",BA5)))</formula>
    </cfRule>
    <cfRule type="containsText" dxfId="3087" priority="5115" operator="containsText" text="ALTO">
      <formula>NOT(ISERROR(SEARCH("ALTO",BA5)))</formula>
    </cfRule>
    <cfRule type="containsText" dxfId="3086" priority="5116" operator="containsText" text="BAJO">
      <formula>NOT(ISERROR(SEARCH("BAJO",BA5)))</formula>
    </cfRule>
    <cfRule type="containsText" dxfId="3085" priority="5117" operator="containsText" text="FALTA">
      <formula>NOT(ISERROR(SEARCH("FALTA",BA5)))</formula>
    </cfRule>
  </conditionalFormatting>
  <conditionalFormatting sqref="BA5">
    <cfRule type="containsText" dxfId="3084" priority="5112" operator="containsText" text="N/A">
      <formula>NOT(ISERROR(SEARCH("N/A",BA5)))</formula>
    </cfRule>
  </conditionalFormatting>
  <conditionalFormatting sqref="BE5">
    <cfRule type="containsText" dxfId="3083" priority="4933" operator="containsText" text="MODERADO">
      <formula>NOT(ISERROR(SEARCH("MODERADO",BE5)))</formula>
    </cfRule>
    <cfRule type="containsText" dxfId="3082" priority="4934" operator="containsText" text="SANO">
      <formula>NOT(ISERROR(SEARCH("SANO",BE5)))</formula>
    </cfRule>
    <cfRule type="containsText" dxfId="3081" priority="4935" operator="containsText" text="ALTO">
      <formula>NOT(ISERROR(SEARCH("ALTO",BE5)))</formula>
    </cfRule>
    <cfRule type="containsText" dxfId="3080" priority="4936" operator="containsText" text="BAJO">
      <formula>NOT(ISERROR(SEARCH("BAJO",BE5)))</formula>
    </cfRule>
    <cfRule type="containsText" dxfId="3079" priority="4937" operator="containsText" text="FALTA">
      <formula>NOT(ISERROR(SEARCH("FALTA",BE5)))</formula>
    </cfRule>
  </conditionalFormatting>
  <conditionalFormatting sqref="BE5">
    <cfRule type="containsText" dxfId="3078" priority="4932" operator="containsText" text="N/A">
      <formula>NOT(ISERROR(SEARCH("N/A",BE5)))</formula>
    </cfRule>
  </conditionalFormatting>
  <conditionalFormatting sqref="BE5">
    <cfRule type="containsText" dxfId="3077" priority="4931" operator="containsText" text="MEDIO">
      <formula>NOT(ISERROR(SEARCH("MEDIO",BE5)))</formula>
    </cfRule>
  </conditionalFormatting>
  <conditionalFormatting sqref="BE5">
    <cfRule type="containsText" dxfId="3076" priority="4930" operator="containsText" text="R. MODERADO">
      <formula>NOT(ISERROR(SEARCH("R. MODERADO",BE5)))</formula>
    </cfRule>
  </conditionalFormatting>
  <conditionalFormatting sqref="BE5">
    <cfRule type="containsText" dxfId="3075" priority="4924" operator="containsText" text="BAJO">
      <formula>NOT(ISERROR(SEARCH("BAJO",BE5)))</formula>
    </cfRule>
    <cfRule type="containsText" dxfId="3074" priority="4925" operator="containsText" text="MODERADO">
      <formula>NOT(ISERROR(SEARCH("MODERADO",BE5)))</formula>
    </cfRule>
    <cfRule type="containsText" dxfId="3073" priority="4926" operator="containsText" text="SANO">
      <formula>NOT(ISERROR(SEARCH("SANO",BE5)))</formula>
    </cfRule>
    <cfRule type="containsText" dxfId="3072" priority="4927" operator="containsText" text="ALTO">
      <formula>NOT(ISERROR(SEARCH("ALTO",BE5)))</formula>
    </cfRule>
    <cfRule type="colorScale" priority="492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071" priority="4929" operator="containsText" text="ALTO">
      <formula>NOT(ISERROR(SEARCH("ALTO",BE5)))</formula>
    </cfRule>
  </conditionalFormatting>
  <conditionalFormatting sqref="BS5">
    <cfRule type="containsText" dxfId="3070" priority="4919" operator="containsText" text="MODERADO">
      <formula>NOT(ISERROR(SEARCH("MODERADO",BS5)))</formula>
    </cfRule>
    <cfRule type="containsText" dxfId="3069" priority="4920" operator="containsText" text="SANO">
      <formula>NOT(ISERROR(SEARCH("SANO",BS5)))</formula>
    </cfRule>
    <cfRule type="containsText" dxfId="3068" priority="4921" operator="containsText" text="ALTO">
      <formula>NOT(ISERROR(SEARCH("ALTO",BS5)))</formula>
    </cfRule>
    <cfRule type="containsText" dxfId="3067" priority="4922" operator="containsText" text="BAJO">
      <formula>NOT(ISERROR(SEARCH("BAJO",BS5)))</formula>
    </cfRule>
    <cfRule type="containsText" dxfId="3066" priority="4923" operator="containsText" text="FALTA">
      <formula>NOT(ISERROR(SEARCH("FALTA",BS5)))</formula>
    </cfRule>
  </conditionalFormatting>
  <conditionalFormatting sqref="BS5">
    <cfRule type="containsText" dxfId="3065" priority="4918" operator="containsText" text="N/A">
      <formula>NOT(ISERROR(SEARCH("N/A",BS5)))</formula>
    </cfRule>
  </conditionalFormatting>
  <conditionalFormatting sqref="BS5">
    <cfRule type="containsText" dxfId="3064" priority="4917" operator="containsText" text="MEDIO">
      <formula>NOT(ISERROR(SEARCH("MEDIO",BS5)))</formula>
    </cfRule>
  </conditionalFormatting>
  <conditionalFormatting sqref="BS5">
    <cfRule type="containsText" dxfId="3063" priority="4916" operator="containsText" text="R. MODERADO">
      <formula>NOT(ISERROR(SEARCH("R. MODERADO",BS5)))</formula>
    </cfRule>
  </conditionalFormatting>
  <conditionalFormatting sqref="BS5">
    <cfRule type="containsText" dxfId="3062" priority="4910" operator="containsText" text="BAJO">
      <formula>NOT(ISERROR(SEARCH("BAJO",BS5)))</formula>
    </cfRule>
    <cfRule type="containsText" dxfId="3061" priority="4911" operator="containsText" text="MODERADO">
      <formula>NOT(ISERROR(SEARCH("MODERADO",BS5)))</formula>
    </cfRule>
    <cfRule type="containsText" dxfId="3060" priority="4912" operator="containsText" text="SANO">
      <formula>NOT(ISERROR(SEARCH("SANO",BS5)))</formula>
    </cfRule>
    <cfRule type="containsText" dxfId="3059" priority="4913" operator="containsText" text="ALTO">
      <formula>NOT(ISERROR(SEARCH("ALTO",BS5)))</formula>
    </cfRule>
    <cfRule type="colorScale" priority="491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058" priority="4915" operator="containsText" text="ALTO">
      <formula>NOT(ISERROR(SEARCH("ALTO",BS5)))</formula>
    </cfRule>
  </conditionalFormatting>
  <conditionalFormatting sqref="U10:AK10 B7 B8:Q138 R7:T132 F7:Q7 A3:BC3 U11:BC138 AM10:BC10 B139:BC1048576 U7:BC9 A4:S4 U4:AO4 K2:BC2 A2 B1 G5:BC5 AQ4:BC4 BE2:XFD3 BE4:BP4 BS4:CD4 CG4:XFD4 BD5:XFD1048576 A5:A1048576 B6:BC6">
    <cfRule type="containsText" dxfId="3057" priority="4901" operator="containsText" text="FALTA">
      <formula>NOT(ISERROR(SEARCH("FALTA",A1)))</formula>
    </cfRule>
    <cfRule type="containsText" dxfId="3056" priority="4902" operator="containsText" text="R. ALTO">
      <formula>NOT(ISERROR(SEARCH("R. ALTO",A1)))</formula>
    </cfRule>
    <cfRule type="containsText" dxfId="3055" priority="4903" operator="containsText" text="SANO">
      <formula>NOT(ISERROR(SEARCH("SANO",A1)))</formula>
    </cfRule>
  </conditionalFormatting>
  <conditionalFormatting sqref="S129:T132 S88:T99 S32:T86 S101:T125 S134:T138">
    <cfRule type="containsText" dxfId="3054" priority="3777" operator="containsText" text="AN">
      <formula>NOT(ISERROR(SEARCH("AN",S32)))</formula>
    </cfRule>
  </conditionalFormatting>
  <conditionalFormatting sqref="R129:R132 R88:R125 R134:R138">
    <cfRule type="containsText" dxfId="3053" priority="3776" operator="containsText" text="pend.">
      <formula>NOT(ISERROR(SEARCH("pend.",R88)))</formula>
    </cfRule>
  </conditionalFormatting>
  <conditionalFormatting sqref="S31:T31">
    <cfRule type="containsText" dxfId="3052" priority="3775" operator="containsText" text="AN">
      <formula>NOT(ISERROR(SEARCH("AN",S31)))</formula>
    </cfRule>
  </conditionalFormatting>
  <conditionalFormatting sqref="S100:T100">
    <cfRule type="containsText" dxfId="3051" priority="3774" operator="containsText" text="AN">
      <formula>NOT(ISERROR(SEARCH("AN",S100)))</formula>
    </cfRule>
  </conditionalFormatting>
  <conditionalFormatting sqref="S126:T128">
    <cfRule type="containsText" dxfId="3050" priority="3773" operator="containsText" text="AN">
      <formula>NOT(ISERROR(SEARCH("AN",S126)))</formula>
    </cfRule>
  </conditionalFormatting>
  <conditionalFormatting sqref="R126:R128">
    <cfRule type="containsText" dxfId="3049" priority="3772" operator="containsText" text="pend.">
      <formula>NOT(ISERROR(SEARCH("pend.",R126)))</formula>
    </cfRule>
  </conditionalFormatting>
  <conditionalFormatting sqref="R88:T132 R134:T138">
    <cfRule type="containsText" dxfId="3048" priority="3771" operator="containsText" text="R. MODERADO">
      <formula>NOT(ISERROR(SEARCH("R. MODERADO",R88)))</formula>
    </cfRule>
  </conditionalFormatting>
  <conditionalFormatting sqref="S87:T87">
    <cfRule type="containsText" dxfId="3047" priority="3770" operator="containsText" text="AN">
      <formula>NOT(ISERROR(SEARCH("AN",S87)))</formula>
    </cfRule>
  </conditionalFormatting>
  <conditionalFormatting sqref="R87">
    <cfRule type="containsText" dxfId="3046" priority="3769" operator="containsText" text="pend.">
      <formula>NOT(ISERROR(SEARCH("pend.",R87)))</formula>
    </cfRule>
  </conditionalFormatting>
  <conditionalFormatting sqref="R87:T87">
    <cfRule type="containsText" dxfId="3045" priority="3768" operator="containsText" text="R. MODERADO">
      <formula>NOT(ISERROR(SEARCH("R. MODERADO",R87)))</formula>
    </cfRule>
  </conditionalFormatting>
  <conditionalFormatting sqref="R134:T138">
    <cfRule type="containsText" dxfId="3044" priority="3765" operator="containsText" text="FALTA">
      <formula>NOT(ISERROR(SEARCH("FALTA",R134)))</formula>
    </cfRule>
    <cfRule type="containsText" dxfId="3043" priority="3766" operator="containsText" text="R. ALTO">
      <formula>NOT(ISERROR(SEARCH("R. ALTO",R134)))</formula>
    </cfRule>
    <cfRule type="containsText" dxfId="3042" priority="3767" operator="containsText" text="SANO">
      <formula>NOT(ISERROR(SEARCH("SANO",R134)))</formula>
    </cfRule>
  </conditionalFormatting>
  <conditionalFormatting sqref="S133:T133">
    <cfRule type="containsText" dxfId="3041" priority="3764" operator="containsText" text="AN">
      <formula>NOT(ISERROR(SEARCH("AN",S133)))</formula>
    </cfRule>
  </conditionalFormatting>
  <conditionalFormatting sqref="R133">
    <cfRule type="containsText" dxfId="3040" priority="3763" operator="containsText" text="pend.">
      <formula>NOT(ISERROR(SEARCH("pend.",R133)))</formula>
    </cfRule>
  </conditionalFormatting>
  <conditionalFormatting sqref="R133:T133">
    <cfRule type="containsText" dxfId="3039" priority="3762" operator="containsText" text="R. MODERADO">
      <formula>NOT(ISERROR(SEARCH("R. MODERADO",R133)))</formula>
    </cfRule>
  </conditionalFormatting>
  <conditionalFormatting sqref="R133:T133">
    <cfRule type="containsText" dxfId="3038" priority="3759" operator="containsText" text="FALTA">
      <formula>NOT(ISERROR(SEARCH("FALTA",R133)))</formula>
    </cfRule>
    <cfRule type="containsText" dxfId="3037" priority="3760" operator="containsText" text="R. ALTO">
      <formula>NOT(ISERROR(SEARCH("R. ALTO",R133)))</formula>
    </cfRule>
    <cfRule type="containsText" dxfId="3036" priority="3761" operator="containsText" text="SANO">
      <formula>NOT(ISERROR(SEARCH("SANO",R133)))</formula>
    </cfRule>
  </conditionalFormatting>
  <conditionalFormatting sqref="K5">
    <cfRule type="containsText" dxfId="3035" priority="3729" operator="containsText" text="FALTA">
      <formula>NOT(ISERROR(SEARCH("FALTA",K5)))</formula>
    </cfRule>
  </conditionalFormatting>
  <conditionalFormatting sqref="K5">
    <cfRule type="containsText" dxfId="3034" priority="3724" operator="containsText" text="MODERADO">
      <formula>NOT(ISERROR(SEARCH("MODERADO",K5)))</formula>
    </cfRule>
    <cfRule type="containsText" dxfId="3033" priority="3725" operator="containsText" text="SANO">
      <formula>NOT(ISERROR(SEARCH("SANO",K5)))</formula>
    </cfRule>
    <cfRule type="containsText" dxfId="3032" priority="3726" operator="containsText" text="ALTO">
      <formula>NOT(ISERROR(SEARCH("ALTO",K5)))</formula>
    </cfRule>
    <cfRule type="containsText" dxfId="3031" priority="3727" operator="containsText" text="BAJO">
      <formula>NOT(ISERROR(SEARCH("BAJO",K5)))</formula>
    </cfRule>
    <cfRule type="containsText" dxfId="3030" priority="3728" operator="containsText" text="FALTA">
      <formula>NOT(ISERROR(SEARCH("FALTA",K5)))</formula>
    </cfRule>
  </conditionalFormatting>
  <conditionalFormatting sqref="K5">
    <cfRule type="containsText" dxfId="3029" priority="3723" operator="containsText" text="N/A">
      <formula>NOT(ISERROR(SEARCH("N/A",K5)))</formula>
    </cfRule>
  </conditionalFormatting>
  <conditionalFormatting sqref="W5">
    <cfRule type="cellIs" dxfId="3028" priority="3240" operator="greaterThan">
      <formula>149</formula>
    </cfRule>
  </conditionalFormatting>
  <conditionalFormatting sqref="V5">
    <cfRule type="cellIs" dxfId="3027" priority="3239" operator="greaterThan">
      <formula>199</formula>
    </cfRule>
  </conditionalFormatting>
  <conditionalFormatting sqref="AQ5">
    <cfRule type="containsText" dxfId="3026" priority="2020" operator="containsText" text="BAJO">
      <formula>NOT(ISERROR(SEARCH("BAJO",AQ5)))</formula>
    </cfRule>
    <cfRule type="containsText" dxfId="3025" priority="2021" operator="containsText" text="MODERADO">
      <formula>NOT(ISERROR(SEARCH("MODERADO",AQ5)))</formula>
    </cfRule>
    <cfRule type="containsText" dxfId="3024" priority="2022" operator="containsText" text="SANO">
      <formula>NOT(ISERROR(SEARCH("SANO",AQ5)))</formula>
    </cfRule>
    <cfRule type="containsText" dxfId="3023" priority="2023" operator="containsText" text="ALTO">
      <formula>NOT(ISERROR(SEARCH("ALTO",AQ5)))</formula>
    </cfRule>
    <cfRule type="colorScale" priority="202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022" priority="2025" operator="containsText" text="ALTO">
      <formula>NOT(ISERROR(SEARCH("ALTO",AQ5)))</formula>
    </cfRule>
  </conditionalFormatting>
  <conditionalFormatting sqref="BE5">
    <cfRule type="containsText" dxfId="3021" priority="1838" operator="containsText" text="MODERADO">
      <formula>NOT(ISERROR(SEARCH("MODERADO",BE5)))</formula>
    </cfRule>
    <cfRule type="containsText" dxfId="3020" priority="1839" operator="containsText" text="SANO">
      <formula>NOT(ISERROR(SEARCH("SANO",BE5)))</formula>
    </cfRule>
    <cfRule type="containsText" dxfId="3019" priority="1840" operator="containsText" text="ALTO">
      <formula>NOT(ISERROR(SEARCH("ALTO",BE5)))</formula>
    </cfRule>
    <cfRule type="containsText" dxfId="3018" priority="1841" operator="containsText" text="BAJO">
      <formula>NOT(ISERROR(SEARCH("BAJO",BE5)))</formula>
    </cfRule>
    <cfRule type="containsText" dxfId="3017" priority="1842" operator="containsText" text="FALTA">
      <formula>NOT(ISERROR(SEARCH("FALTA",BE5)))</formula>
    </cfRule>
  </conditionalFormatting>
  <conditionalFormatting sqref="BE5">
    <cfRule type="containsText" dxfId="3016" priority="1837" operator="containsText" text="N/A">
      <formula>NOT(ISERROR(SEARCH("N/A",BE5)))</formula>
    </cfRule>
  </conditionalFormatting>
  <conditionalFormatting sqref="BE5">
    <cfRule type="containsText" dxfId="3015" priority="1836" operator="containsText" text="MEDIO">
      <formula>NOT(ISERROR(SEARCH("MEDIO",BE5)))</formula>
    </cfRule>
  </conditionalFormatting>
  <conditionalFormatting sqref="BE5">
    <cfRule type="containsText" dxfId="3014" priority="1835" operator="containsText" text="R. MODERADO">
      <formula>NOT(ISERROR(SEARCH("R. MODERADO",BE5)))</formula>
    </cfRule>
  </conditionalFormatting>
  <conditionalFormatting sqref="BE5">
    <cfRule type="containsText" dxfId="3013" priority="1829" operator="containsText" text="BAJO">
      <formula>NOT(ISERROR(SEARCH("BAJO",BE5)))</formula>
    </cfRule>
    <cfRule type="containsText" dxfId="3012" priority="1830" operator="containsText" text="MODERADO">
      <formula>NOT(ISERROR(SEARCH("MODERADO",BE5)))</formula>
    </cfRule>
    <cfRule type="containsText" dxfId="3011" priority="1831" operator="containsText" text="SANO">
      <formula>NOT(ISERROR(SEARCH("SANO",BE5)))</formula>
    </cfRule>
    <cfRule type="containsText" dxfId="3010" priority="1832" operator="containsText" text="ALTO">
      <formula>NOT(ISERROR(SEARCH("ALTO",BE5)))</formula>
    </cfRule>
    <cfRule type="colorScale" priority="183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009" priority="1834" operator="containsText" text="ALTO">
      <formula>NOT(ISERROR(SEARCH("ALTO",BE5)))</formula>
    </cfRule>
  </conditionalFormatting>
  <conditionalFormatting sqref="BE5">
    <cfRule type="containsText" dxfId="3008" priority="1823" operator="containsText" text="BAJO">
      <formula>NOT(ISERROR(SEARCH("BAJO",BE5)))</formula>
    </cfRule>
    <cfRule type="containsText" dxfId="3007" priority="1824" operator="containsText" text="MODERADO">
      <formula>NOT(ISERROR(SEARCH("MODERADO",BE5)))</formula>
    </cfRule>
    <cfRule type="containsText" dxfId="3006" priority="1825" operator="containsText" text="SANO">
      <formula>NOT(ISERROR(SEARCH("SANO",BE5)))</formula>
    </cfRule>
    <cfRule type="containsText" dxfId="3005" priority="1826" operator="containsText" text="ALTO">
      <formula>NOT(ISERROR(SEARCH("ALTO",BE5)))</formula>
    </cfRule>
    <cfRule type="colorScale" priority="182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004" priority="1828" operator="containsText" text="ALTO">
      <formula>NOT(ISERROR(SEARCH("ALTO",BE5)))</formula>
    </cfRule>
  </conditionalFormatting>
  <conditionalFormatting sqref="BE5">
    <cfRule type="containsText" dxfId="3003" priority="1817" operator="containsText" text="BAJO">
      <formula>NOT(ISERROR(SEARCH("BAJO",BE5)))</formula>
    </cfRule>
    <cfRule type="containsText" dxfId="3002" priority="1818" operator="containsText" text="MODERADO">
      <formula>NOT(ISERROR(SEARCH("MODERADO",BE5)))</formula>
    </cfRule>
    <cfRule type="containsText" dxfId="3001" priority="1819" operator="containsText" text="SANO">
      <formula>NOT(ISERROR(SEARCH("SANO",BE5)))</formula>
    </cfRule>
    <cfRule type="containsText" dxfId="3000" priority="1820" operator="containsText" text="ALTO">
      <formula>NOT(ISERROR(SEARCH("ALTO",BE5)))</formula>
    </cfRule>
    <cfRule type="colorScale" priority="182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99" priority="1822" operator="containsText" text="ALTO">
      <formula>NOT(ISERROR(SEARCH("ALTO",BE5)))</formula>
    </cfRule>
  </conditionalFormatting>
  <conditionalFormatting sqref="AP2:AP3 AP5:AP1048576 BD5:BD1048576">
    <cfRule type="cellIs" dxfId="2998" priority="1177" operator="greaterThan">
      <formula>58</formula>
    </cfRule>
    <cfRule type="cellIs" dxfId="2997" priority="1178" operator="lessThan">
      <formula>58.1</formula>
    </cfRule>
  </conditionalFormatting>
  <conditionalFormatting sqref="AP1:AP3 BD5:BD1048576 AP5:AP1048576">
    <cfRule type="cellIs" dxfId="2996" priority="1176" operator="greaterThan">
      <formula>64.9</formula>
    </cfRule>
  </conditionalFormatting>
  <conditionalFormatting sqref="BD2:BD3">
    <cfRule type="containsText" dxfId="2995" priority="1041" operator="containsText" text="R. MODERADO">
      <formula>NOT(ISERROR(SEARCH("R. MODERADO",BD2)))</formula>
    </cfRule>
  </conditionalFormatting>
  <conditionalFormatting sqref="BD2:BD3">
    <cfRule type="containsText" dxfId="2994" priority="1038" operator="containsText" text="FALTA">
      <formula>NOT(ISERROR(SEARCH("FALTA",BD2)))</formula>
    </cfRule>
    <cfRule type="containsText" dxfId="2993" priority="1039" operator="containsText" text="R. ALTO">
      <formula>NOT(ISERROR(SEARCH("R. ALTO",BD2)))</formula>
    </cfRule>
    <cfRule type="containsText" dxfId="2992" priority="1040" operator="containsText" text="SANO">
      <formula>NOT(ISERROR(SEARCH("SANO",BD2)))</formula>
    </cfRule>
  </conditionalFormatting>
  <conditionalFormatting sqref="BD2:BD3">
    <cfRule type="cellIs" dxfId="2991" priority="1036" operator="greaterThan">
      <formula>58</formula>
    </cfRule>
    <cfRule type="cellIs" dxfId="2990" priority="1037" operator="lessThan">
      <formula>58.1</formula>
    </cfRule>
  </conditionalFormatting>
  <conditionalFormatting sqref="BD1:BD3">
    <cfRule type="cellIs" dxfId="2989" priority="1035" operator="greaterThan">
      <formula>64.9</formula>
    </cfRule>
  </conditionalFormatting>
  <conditionalFormatting sqref="BR5">
    <cfRule type="cellIs" dxfId="2988" priority="8" operator="greaterThan">
      <formula>64.9</formula>
    </cfRule>
  </conditionalFormatting>
  <conditionalFormatting sqref="BQ4">
    <cfRule type="containsText" dxfId="2987" priority="14" operator="containsText" text="R. MODERADO">
      <formula>NOT(ISERROR(SEARCH("R. MODERADO",BQ4)))</formula>
    </cfRule>
  </conditionalFormatting>
  <conditionalFormatting sqref="BQ4">
    <cfRule type="containsText" dxfId="2986" priority="11" operator="containsText" text="FALTA">
      <formula>NOT(ISERROR(SEARCH("FALTA",BQ4)))</formula>
    </cfRule>
    <cfRule type="containsText" dxfId="2985" priority="12" operator="containsText" text="R. ALTO">
      <formula>NOT(ISERROR(SEARCH("R. ALTO",BQ4)))</formula>
    </cfRule>
    <cfRule type="containsText" dxfId="2984" priority="13" operator="containsText" text="SANO">
      <formula>NOT(ISERROR(SEARCH("SANO",BQ4)))</formula>
    </cfRule>
  </conditionalFormatting>
  <conditionalFormatting sqref="BR5">
    <cfRule type="cellIs" dxfId="2983" priority="9" operator="greaterThan">
      <formula>58</formula>
    </cfRule>
    <cfRule type="cellIs" dxfId="2982" priority="10" operator="lessThan">
      <formula>58.1</formula>
    </cfRule>
  </conditionalFormatting>
  <conditionalFormatting sqref="CE4">
    <cfRule type="containsText" dxfId="2981" priority="7" operator="containsText" text="R. MODERADO">
      <formula>NOT(ISERROR(SEARCH("R. MODERADO",CE4)))</formula>
    </cfRule>
  </conditionalFormatting>
  <conditionalFormatting sqref="CE4">
    <cfRule type="containsText" dxfId="2980" priority="4" operator="containsText" text="FALTA">
      <formula>NOT(ISERROR(SEARCH("FALTA",CE4)))</formula>
    </cfRule>
    <cfRule type="containsText" dxfId="2979" priority="5" operator="containsText" text="R. ALTO">
      <formula>NOT(ISERROR(SEARCH("R. ALTO",CE4)))</formula>
    </cfRule>
    <cfRule type="containsText" dxfId="2978" priority="6" operator="containsText" text="SANO">
      <formula>NOT(ISERROR(SEARCH("SANO",CE4)))</formula>
    </cfRule>
  </conditionalFormatting>
  <conditionalFormatting sqref="CF5">
    <cfRule type="cellIs" dxfId="2977" priority="1" operator="greaterThan">
      <formula>64.9</formula>
    </cfRule>
  </conditionalFormatting>
  <conditionalFormatting sqref="CF5">
    <cfRule type="cellIs" dxfId="2976" priority="2" operator="greaterThan">
      <formula>58</formula>
    </cfRule>
    <cfRule type="cellIs" dxfId="2975" priority="3" operator="lessThan">
      <formula>58.1</formula>
    </cfRule>
  </conditionalFormatting>
  <conditionalFormatting sqref="EP5">
    <cfRule type="containsText" dxfId="2974" priority="105797" operator="containsText" text="BAJO">
      <formula>NOT(ISERROR(SEARCH("BAJO",EP5)))</formula>
    </cfRule>
    <cfRule type="containsText" dxfId="2973" priority="105798" operator="containsText" text="MODERADO">
      <formula>NOT(ISERROR(SEARCH("MODERADO",EP5)))</formula>
    </cfRule>
    <cfRule type="containsText" dxfId="2972" priority="105799" operator="containsText" text="SANO">
      <formula>NOT(ISERROR(SEARCH("SANO",EP5)))</formula>
    </cfRule>
    <cfRule type="containsText" dxfId="2971" priority="105800" operator="containsText" text="ALTO">
      <formula>NOT(ISERROR(SEARCH("ALTO",EP5)))</formula>
    </cfRule>
    <cfRule type="colorScale" priority="10580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70" priority="105802" operator="containsText" text="ALTO">
      <formula>NOT(ISERROR(SEARCH("ALTO",EP5)))</formula>
    </cfRule>
  </conditionalFormatting>
  <conditionalFormatting sqref="AQ5">
    <cfRule type="containsText" dxfId="2969" priority="105803" operator="containsText" text="BAJO">
      <formula>NOT(ISERROR(SEARCH("BAJO",AQ5)))</formula>
    </cfRule>
    <cfRule type="containsText" dxfId="2968" priority="105804" operator="containsText" text="MODERADO">
      <formula>NOT(ISERROR(SEARCH("MODERADO",AQ5)))</formula>
    </cfRule>
    <cfRule type="containsText" dxfId="2967" priority="105805" operator="containsText" text="SANO">
      <formula>NOT(ISERROR(SEARCH("SANO",AQ5)))</formula>
    </cfRule>
    <cfRule type="containsText" dxfId="2966" priority="105806" operator="containsText" text="ALTO">
      <formula>NOT(ISERROR(SEARCH("ALTO",AQ5)))</formula>
    </cfRule>
    <cfRule type="colorScale" priority="10580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65" priority="105808" operator="containsText" text="ALTO">
      <formula>NOT(ISERROR(SEARCH("ALTO",AQ5)))</formula>
    </cfRule>
  </conditionalFormatting>
  <conditionalFormatting sqref="AC5:AD5">
    <cfRule type="containsText" dxfId="2964" priority="105809" operator="containsText" text="BAJO">
      <formula>NOT(ISERROR(SEARCH("BAJO",AC5)))</formula>
    </cfRule>
    <cfRule type="containsText" dxfId="2963" priority="105810" operator="containsText" text="MODERADO">
      <formula>NOT(ISERROR(SEARCH("MODERADO",AC5)))</formula>
    </cfRule>
    <cfRule type="containsText" dxfId="2962" priority="105811" operator="containsText" text="SANO">
      <formula>NOT(ISERROR(SEARCH("SANO",AC5)))</formula>
    </cfRule>
    <cfRule type="containsText" dxfId="2961" priority="105812" operator="containsText" text="ALTO">
      <formula>NOT(ISERROR(SEARCH("ALTO",AC5)))</formula>
    </cfRule>
    <cfRule type="colorScale" priority="10581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60" priority="105814" operator="containsText" text="ALTO">
      <formula>NOT(ISERROR(SEARCH("ALTO",AC5)))</formula>
    </cfRule>
  </conditionalFormatting>
  <conditionalFormatting sqref="BT5">
    <cfRule type="containsText" dxfId="2959" priority="105815" operator="containsText" text="BAJO">
      <formula>NOT(ISERROR(SEARCH("BAJO",BT5)))</formula>
    </cfRule>
    <cfRule type="containsText" dxfId="2958" priority="105816" operator="containsText" text="MODERADO">
      <formula>NOT(ISERROR(SEARCH("MODERADO",BT5)))</formula>
    </cfRule>
    <cfRule type="containsText" dxfId="2957" priority="105817" operator="containsText" text="SANO">
      <formula>NOT(ISERROR(SEARCH("SANO",BT5)))</formula>
    </cfRule>
    <cfRule type="containsText" dxfId="2956" priority="105818" operator="containsText" text="ALTO">
      <formula>NOT(ISERROR(SEARCH("ALTO",BT5)))</formula>
    </cfRule>
    <cfRule type="colorScale" priority="10581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55" priority="105820" operator="containsText" text="ALTO">
      <formula>NOT(ISERROR(SEARCH("ALTO",BT5)))</formula>
    </cfRule>
  </conditionalFormatting>
  <conditionalFormatting sqref="BF5">
    <cfRule type="containsText" dxfId="2954" priority="105821" operator="containsText" text="BAJO">
      <formula>NOT(ISERROR(SEARCH("BAJO",BF5)))</formula>
    </cfRule>
    <cfRule type="containsText" dxfId="2953" priority="105822" operator="containsText" text="MODERADO">
      <formula>NOT(ISERROR(SEARCH("MODERADO",BF5)))</formula>
    </cfRule>
    <cfRule type="containsText" dxfId="2952" priority="105823" operator="containsText" text="SANO">
      <formula>NOT(ISERROR(SEARCH("SANO",BF5)))</formula>
    </cfRule>
    <cfRule type="containsText" dxfId="2951" priority="105824" operator="containsText" text="ALTO">
      <formula>NOT(ISERROR(SEARCH("ALTO",BF5)))</formula>
    </cfRule>
    <cfRule type="colorScale" priority="10582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50" priority="105826" operator="containsText" text="ALTO">
      <formula>NOT(ISERROR(SEARCH("ALTO",BF5)))</formula>
    </cfRule>
  </conditionalFormatting>
  <conditionalFormatting sqref="CS5:CT5">
    <cfRule type="containsText" dxfId="2949" priority="105827" operator="containsText" text="BAJO">
      <formula>NOT(ISERROR(SEARCH("BAJO",CS5)))</formula>
    </cfRule>
    <cfRule type="containsText" dxfId="2948" priority="105828" operator="containsText" text="MODERADO">
      <formula>NOT(ISERROR(SEARCH("MODERADO",CS5)))</formula>
    </cfRule>
    <cfRule type="containsText" dxfId="2947" priority="105829" operator="containsText" text="SANO">
      <formula>NOT(ISERROR(SEARCH("SANO",CS5)))</formula>
    </cfRule>
    <cfRule type="containsText" dxfId="2946" priority="105830" operator="containsText" text="ALTO">
      <formula>NOT(ISERROR(SEARCH("ALTO",CS5)))</formula>
    </cfRule>
    <cfRule type="colorScale" priority="10583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45" priority="105832" operator="containsText" text="ALTO">
      <formula>NOT(ISERROR(SEARCH("ALTO",CS5)))</formula>
    </cfRule>
  </conditionalFormatting>
  <conditionalFormatting sqref="DE5:DF5">
    <cfRule type="containsText" dxfId="2944" priority="105833" operator="containsText" text="BAJO">
      <formula>NOT(ISERROR(SEARCH("BAJO",DE5)))</formula>
    </cfRule>
    <cfRule type="containsText" dxfId="2943" priority="105834" operator="containsText" text="MODERADO">
      <formula>NOT(ISERROR(SEARCH("MODERADO",DE5)))</formula>
    </cfRule>
    <cfRule type="containsText" dxfId="2942" priority="105835" operator="containsText" text="SANO">
      <formula>NOT(ISERROR(SEARCH("SANO",DE5)))</formula>
    </cfRule>
    <cfRule type="containsText" dxfId="2941" priority="105836" operator="containsText" text="ALTO">
      <formula>NOT(ISERROR(SEARCH("ALTO",DE5)))</formula>
    </cfRule>
    <cfRule type="colorScale" priority="10583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40" priority="105838" operator="containsText" text="ALTO">
      <formula>NOT(ISERROR(SEARCH("ALTO",DE5)))</formula>
    </cfRule>
  </conditionalFormatting>
  <conditionalFormatting sqref="DQ5:DR5">
    <cfRule type="containsText" dxfId="2939" priority="105839" operator="containsText" text="BAJO">
      <formula>NOT(ISERROR(SEARCH("BAJO",DQ5)))</formula>
    </cfRule>
    <cfRule type="containsText" dxfId="2938" priority="105840" operator="containsText" text="MODERADO">
      <formula>NOT(ISERROR(SEARCH("MODERADO",DQ5)))</formula>
    </cfRule>
    <cfRule type="containsText" dxfId="2937" priority="105841" operator="containsText" text="SANO">
      <formula>NOT(ISERROR(SEARCH("SANO",DQ5)))</formula>
    </cfRule>
    <cfRule type="containsText" dxfId="2936" priority="105842" operator="containsText" text="ALTO">
      <formula>NOT(ISERROR(SEARCH("ALTO",DQ5)))</formula>
    </cfRule>
    <cfRule type="colorScale" priority="10584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35" priority="105844" operator="containsText" text="ALTO">
      <formula>NOT(ISERROR(SEARCH("ALTO",DQ5)))</formula>
    </cfRule>
  </conditionalFormatting>
  <conditionalFormatting sqref="EO5:EP5">
    <cfRule type="containsText" dxfId="2934" priority="105845" operator="containsText" text="BAJO">
      <formula>NOT(ISERROR(SEARCH("BAJO",EO5)))</formula>
    </cfRule>
    <cfRule type="containsText" dxfId="2933" priority="105846" operator="containsText" text="MODERADO">
      <formula>NOT(ISERROR(SEARCH("MODERADO",EO5)))</formula>
    </cfRule>
    <cfRule type="containsText" dxfId="2932" priority="105847" operator="containsText" text="SANO">
      <formula>NOT(ISERROR(SEARCH("SANO",EO5)))</formula>
    </cfRule>
    <cfRule type="containsText" dxfId="2931" priority="105848" operator="containsText" text="ALTO">
      <formula>NOT(ISERROR(SEARCH("ALTO",EO5)))</formula>
    </cfRule>
    <cfRule type="colorScale" priority="10584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30" priority="105850" operator="containsText" text="ALTO">
      <formula>NOT(ISERROR(SEARCH("ALTO",EO5)))</formula>
    </cfRule>
  </conditionalFormatting>
  <conditionalFormatting sqref="FA5:FB5">
    <cfRule type="containsText" dxfId="2929" priority="105851" operator="containsText" text="BAJO">
      <formula>NOT(ISERROR(SEARCH("BAJO",FA5)))</formula>
    </cfRule>
    <cfRule type="containsText" dxfId="2928" priority="105852" operator="containsText" text="MODERADO">
      <formula>NOT(ISERROR(SEARCH("MODERADO",FA5)))</formula>
    </cfRule>
    <cfRule type="containsText" dxfId="2927" priority="105853" operator="containsText" text="SANO">
      <formula>NOT(ISERROR(SEARCH("SANO",FA5)))</formula>
    </cfRule>
    <cfRule type="containsText" dxfId="2926" priority="105854" operator="containsText" text="ALTO">
      <formula>NOT(ISERROR(SEARCH("ALTO",FA5)))</formula>
    </cfRule>
    <cfRule type="colorScale" priority="10585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25" priority="105856" operator="containsText" text="ALTO">
      <formula>NOT(ISERROR(SEARCH("ALTO",FA5)))</formula>
    </cfRule>
  </conditionalFormatting>
  <conditionalFormatting sqref="FM5:FN5">
    <cfRule type="containsText" dxfId="2924" priority="105857" operator="containsText" text="BAJO">
      <formula>NOT(ISERROR(SEARCH("BAJO",FM5)))</formula>
    </cfRule>
    <cfRule type="containsText" dxfId="2923" priority="105858" operator="containsText" text="MODERADO">
      <formula>NOT(ISERROR(SEARCH("MODERADO",FM5)))</formula>
    </cfRule>
    <cfRule type="containsText" dxfId="2922" priority="105859" operator="containsText" text="SANO">
      <formula>NOT(ISERROR(SEARCH("SANO",FM5)))</formula>
    </cfRule>
    <cfRule type="containsText" dxfId="2921" priority="105860" operator="containsText" text="ALTO">
      <formula>NOT(ISERROR(SEARCH("ALTO",FM5)))</formula>
    </cfRule>
    <cfRule type="colorScale" priority="10586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20" priority="105862" operator="containsText" text="ALTO">
      <formula>NOT(ISERROR(SEARCH("ALTO",FM5)))</formula>
    </cfRule>
  </conditionalFormatting>
  <conditionalFormatting sqref="EC5:ED5">
    <cfRule type="containsText" dxfId="2919" priority="105863" operator="containsText" text="BAJO">
      <formula>NOT(ISERROR(SEARCH("BAJO",EC5)))</formula>
    </cfRule>
    <cfRule type="containsText" dxfId="2918" priority="105864" operator="containsText" text="MODERADO">
      <formula>NOT(ISERROR(SEARCH("MODERADO",EC5)))</formula>
    </cfRule>
    <cfRule type="containsText" dxfId="2917" priority="105865" operator="containsText" text="SANO">
      <formula>NOT(ISERROR(SEARCH("SANO",EC5)))</formula>
    </cfRule>
    <cfRule type="containsText" dxfId="2916" priority="105866" operator="containsText" text="ALTO">
      <formula>NOT(ISERROR(SEARCH("ALTO",EC5)))</formula>
    </cfRule>
    <cfRule type="colorScale" priority="10586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15" priority="105868" operator="containsText" text="ALTO">
      <formula>NOT(ISERROR(SEARCH("ALTO",EC5)))</formula>
    </cfRule>
  </conditionalFormatting>
  <conditionalFormatting sqref="AR5">
    <cfRule type="containsText" dxfId="2914" priority="105875" operator="containsText" text="BAJO">
      <formula>NOT(ISERROR(SEARCH("BAJO",AR5)))</formula>
    </cfRule>
    <cfRule type="containsText" dxfId="2913" priority="105876" operator="containsText" text="MODERADO">
      <formula>NOT(ISERROR(SEARCH("MODERADO",AR5)))</formula>
    </cfRule>
    <cfRule type="containsText" dxfId="2912" priority="105877" operator="containsText" text="SANO">
      <formula>NOT(ISERROR(SEARCH("SANO",AR5)))</formula>
    </cfRule>
    <cfRule type="containsText" dxfId="2911" priority="105878" operator="containsText" text="ALTO">
      <formula>NOT(ISERROR(SEARCH("ALTO",AR5)))</formula>
    </cfRule>
    <cfRule type="colorScale" priority="10587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10" priority="105880" operator="containsText" text="ALTO">
      <formula>NOT(ISERROR(SEARCH("ALTO",AR5)))</formula>
    </cfRule>
  </conditionalFormatting>
  <conditionalFormatting sqref="EO5">
    <cfRule type="containsText" dxfId="2909" priority="105881" operator="containsText" text="BAJO">
      <formula>NOT(ISERROR(SEARCH("BAJO",EO5)))</formula>
    </cfRule>
    <cfRule type="containsText" dxfId="2908" priority="105882" operator="containsText" text="MODERADO">
      <formula>NOT(ISERROR(SEARCH("MODERADO",EO5)))</formula>
    </cfRule>
    <cfRule type="containsText" dxfId="2907" priority="105883" operator="containsText" text="SANO">
      <formula>NOT(ISERROR(SEARCH("SANO",EO5)))</formula>
    </cfRule>
    <cfRule type="containsText" dxfId="2906" priority="105884" operator="containsText" text="ALTO">
      <formula>NOT(ISERROR(SEARCH("ALTO",EO5)))</formula>
    </cfRule>
    <cfRule type="colorScale" priority="10588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05" priority="105886" operator="containsText" text="ALTO">
      <formula>NOT(ISERROR(SEARCH("ALTO",EO5)))</formula>
    </cfRule>
  </conditionalFormatting>
  <conditionalFormatting sqref="CG5:CH5">
    <cfRule type="containsText" dxfId="2904" priority="105905" operator="containsText" text="BAJO">
      <formula>NOT(ISERROR(SEARCH("BAJO",CG5)))</formula>
    </cfRule>
    <cfRule type="containsText" dxfId="2903" priority="105906" operator="containsText" text="MODERADO">
      <formula>NOT(ISERROR(SEARCH("MODERADO",CG5)))</formula>
    </cfRule>
    <cfRule type="containsText" dxfId="2902" priority="105907" operator="containsText" text="SANO">
      <formula>NOT(ISERROR(SEARCH("SANO",CG5)))</formula>
    </cfRule>
    <cfRule type="containsText" dxfId="2901" priority="105908" operator="containsText" text="ALTO">
      <formula>NOT(ISERROR(SEARCH("ALTO",CG5)))</formula>
    </cfRule>
    <cfRule type="colorScale" priority="10590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900" priority="105910" operator="containsText" text="ALTO">
      <formula>NOT(ISERROR(SEARCH("ALTO",CG5)))</formula>
    </cfRule>
  </conditionalFormatting>
  <pageMargins left="0.70866141732283472" right="0.70866141732283472" top="0.74803149606299213" bottom="0.74803149606299213" header="0.31496062992125984" footer="0.31496062992125984"/>
  <pageSetup paperSize="5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6"/>
  <sheetViews>
    <sheetView topLeftCell="E1" workbookViewId="0">
      <selection activeCell="W76" sqref="W76"/>
    </sheetView>
  </sheetViews>
  <sheetFormatPr baseColWidth="10" defaultColWidth="11.42578125" defaultRowHeight="15" x14ac:dyDescent="0.25"/>
  <cols>
    <col min="1" max="1" width="11.42578125" style="66"/>
    <col min="2" max="2" width="9.5703125" style="66" customWidth="1"/>
    <col min="3" max="3" width="12.7109375" style="66" customWidth="1"/>
    <col min="4" max="16384" width="11.42578125" style="66"/>
  </cols>
  <sheetData>
    <row r="1" spans="1:6" x14ac:dyDescent="0.25">
      <c r="B1" s="60" t="s">
        <v>265</v>
      </c>
      <c r="C1" s="60" t="s">
        <v>266</v>
      </c>
      <c r="D1" s="10" t="s">
        <v>287</v>
      </c>
    </row>
    <row r="2" spans="1:6" x14ac:dyDescent="0.25">
      <c r="A2" s="72">
        <v>2016</v>
      </c>
      <c r="B2" s="2">
        <v>193</v>
      </c>
      <c r="C2" s="71">
        <v>20</v>
      </c>
      <c r="D2" s="77">
        <f t="shared" ref="D2:D9" si="0">SUM(B2:C2)</f>
        <v>213</v>
      </c>
      <c r="E2" s="78"/>
    </row>
    <row r="3" spans="1:6" x14ac:dyDescent="0.25">
      <c r="A3" s="72">
        <v>2017</v>
      </c>
      <c r="B3" s="2">
        <v>173</v>
      </c>
      <c r="C3" s="71">
        <v>6</v>
      </c>
      <c r="D3" s="77">
        <f t="shared" si="0"/>
        <v>179</v>
      </c>
      <c r="E3" s="67"/>
    </row>
    <row r="4" spans="1:6" x14ac:dyDescent="0.25">
      <c r="A4" s="72">
        <v>2018</v>
      </c>
      <c r="B4" s="2">
        <v>153</v>
      </c>
      <c r="C4" s="71">
        <v>8</v>
      </c>
      <c r="D4" s="77">
        <f t="shared" si="0"/>
        <v>161</v>
      </c>
      <c r="E4" s="67"/>
    </row>
    <row r="5" spans="1:6" x14ac:dyDescent="0.25">
      <c r="A5" s="72">
        <v>2019</v>
      </c>
      <c r="B5" s="2">
        <v>149</v>
      </c>
      <c r="C5" s="71">
        <v>6</v>
      </c>
      <c r="D5" s="77">
        <f t="shared" si="0"/>
        <v>155</v>
      </c>
      <c r="E5" s="67"/>
    </row>
    <row r="6" spans="1:6" x14ac:dyDescent="0.25">
      <c r="A6" s="72">
        <v>2020</v>
      </c>
      <c r="B6" s="2">
        <v>136</v>
      </c>
      <c r="C6" s="71">
        <v>11</v>
      </c>
      <c r="D6" s="77">
        <f t="shared" si="0"/>
        <v>147</v>
      </c>
      <c r="E6" s="67"/>
    </row>
    <row r="7" spans="1:6" x14ac:dyDescent="0.25">
      <c r="A7" s="72">
        <v>2021</v>
      </c>
      <c r="B7" s="2">
        <v>135</v>
      </c>
      <c r="C7" s="71">
        <v>13</v>
      </c>
      <c r="D7" s="77">
        <f t="shared" si="0"/>
        <v>148</v>
      </c>
      <c r="E7" s="67"/>
    </row>
    <row r="8" spans="1:6" x14ac:dyDescent="0.25">
      <c r="A8" s="72">
        <v>2022</v>
      </c>
      <c r="B8" s="2">
        <v>125</v>
      </c>
      <c r="C8" s="71">
        <v>12</v>
      </c>
      <c r="D8" s="77">
        <f t="shared" si="0"/>
        <v>137</v>
      </c>
      <c r="E8" s="67"/>
    </row>
    <row r="9" spans="1:6" x14ac:dyDescent="0.25">
      <c r="A9" s="72">
        <v>2023</v>
      </c>
      <c r="B9" s="2">
        <v>120</v>
      </c>
      <c r="C9" s="71">
        <v>10</v>
      </c>
      <c r="D9" s="77">
        <f t="shared" si="0"/>
        <v>130</v>
      </c>
      <c r="E9" s="67"/>
    </row>
    <row r="10" spans="1:6" x14ac:dyDescent="0.25">
      <c r="A10" s="72">
        <v>2024</v>
      </c>
      <c r="B10" s="2">
        <v>128</v>
      </c>
      <c r="C10" s="71">
        <v>6</v>
      </c>
      <c r="D10" s="77">
        <f>SUM(B10:C10)</f>
        <v>134</v>
      </c>
      <c r="E10" s="67"/>
    </row>
    <row r="11" spans="1:6" x14ac:dyDescent="0.25">
      <c r="A11" s="72">
        <v>2025</v>
      </c>
      <c r="B11" s="2">
        <v>133</v>
      </c>
      <c r="C11" s="71">
        <v>6</v>
      </c>
      <c r="D11" s="77">
        <f>SUM(B11:C11)</f>
        <v>139</v>
      </c>
      <c r="E11" s="67"/>
    </row>
    <row r="12" spans="1:6" x14ac:dyDescent="0.25">
      <c r="A12" s="69"/>
      <c r="B12" s="4"/>
      <c r="C12" s="67"/>
      <c r="D12" s="67"/>
      <c r="E12" s="67"/>
    </row>
    <row r="13" spans="1:6" x14ac:dyDescent="0.25">
      <c r="A13" s="69"/>
      <c r="B13" s="4"/>
      <c r="C13" s="67"/>
      <c r="D13" s="67"/>
      <c r="E13" s="67"/>
    </row>
    <row r="14" spans="1:6" ht="18.75" customHeight="1" x14ac:dyDescent="0.25">
      <c r="A14" s="69" t="s">
        <v>265</v>
      </c>
      <c r="B14" s="76" t="s">
        <v>288</v>
      </c>
      <c r="C14" s="75" t="s">
        <v>272</v>
      </c>
      <c r="D14" s="75" t="s">
        <v>273</v>
      </c>
      <c r="E14" s="74" t="s">
        <v>289</v>
      </c>
      <c r="F14" s="73" t="s">
        <v>287</v>
      </c>
    </row>
    <row r="15" spans="1:6" x14ac:dyDescent="0.25">
      <c r="A15" s="72">
        <v>2016</v>
      </c>
      <c r="B15" s="2">
        <v>46</v>
      </c>
      <c r="C15" s="71">
        <v>64</v>
      </c>
      <c r="D15" s="71">
        <v>83</v>
      </c>
      <c r="E15" s="71">
        <v>0</v>
      </c>
      <c r="F15" s="70">
        <f t="shared" ref="F15:F22" si="1">SUM(B15:E15)</f>
        <v>193</v>
      </c>
    </row>
    <row r="16" spans="1:6" x14ac:dyDescent="0.25">
      <c r="A16" s="72">
        <v>2017</v>
      </c>
      <c r="B16" s="2">
        <v>49</v>
      </c>
      <c r="C16" s="71">
        <v>59</v>
      </c>
      <c r="D16" s="71">
        <v>54</v>
      </c>
      <c r="E16" s="71">
        <v>11</v>
      </c>
      <c r="F16" s="70">
        <f t="shared" si="1"/>
        <v>173</v>
      </c>
    </row>
    <row r="17" spans="1:6" x14ac:dyDescent="0.25">
      <c r="A17" s="72">
        <v>2018</v>
      </c>
      <c r="B17" s="2">
        <v>44</v>
      </c>
      <c r="C17" s="71">
        <v>38</v>
      </c>
      <c r="D17" s="71">
        <v>49</v>
      </c>
      <c r="E17" s="71">
        <v>22</v>
      </c>
      <c r="F17" s="70">
        <f t="shared" si="1"/>
        <v>153</v>
      </c>
    </row>
    <row r="18" spans="1:6" x14ac:dyDescent="0.25">
      <c r="A18" s="72">
        <v>2019</v>
      </c>
      <c r="B18" s="2">
        <v>31</v>
      </c>
      <c r="C18" s="71">
        <v>46</v>
      </c>
      <c r="D18" s="71">
        <v>48</v>
      </c>
      <c r="E18" s="71">
        <v>24</v>
      </c>
      <c r="F18" s="70">
        <f t="shared" si="1"/>
        <v>149</v>
      </c>
    </row>
    <row r="19" spans="1:6" x14ac:dyDescent="0.25">
      <c r="A19" s="72">
        <v>2020</v>
      </c>
      <c r="B19" s="2">
        <v>36</v>
      </c>
      <c r="C19" s="71">
        <v>31</v>
      </c>
      <c r="D19" s="71">
        <v>49</v>
      </c>
      <c r="E19" s="71">
        <v>20</v>
      </c>
      <c r="F19" s="70">
        <f t="shared" si="1"/>
        <v>136</v>
      </c>
    </row>
    <row r="20" spans="1:6" x14ac:dyDescent="0.25">
      <c r="A20" s="72">
        <v>2021</v>
      </c>
      <c r="B20" s="2">
        <v>39</v>
      </c>
      <c r="C20" s="71">
        <v>44</v>
      </c>
      <c r="D20" s="71">
        <v>49</v>
      </c>
      <c r="E20" s="71">
        <v>3</v>
      </c>
      <c r="F20" s="70">
        <f t="shared" si="1"/>
        <v>135</v>
      </c>
    </row>
    <row r="21" spans="1:6" x14ac:dyDescent="0.25">
      <c r="A21" s="72">
        <v>2022</v>
      </c>
      <c r="B21" s="2">
        <v>62</v>
      </c>
      <c r="C21" s="71">
        <v>35</v>
      </c>
      <c r="D21" s="71">
        <v>22</v>
      </c>
      <c r="E21" s="71">
        <v>6</v>
      </c>
      <c r="F21" s="70">
        <f t="shared" si="1"/>
        <v>125</v>
      </c>
    </row>
    <row r="22" spans="1:6" x14ac:dyDescent="0.25">
      <c r="A22" s="72">
        <v>2023</v>
      </c>
      <c r="B22" s="2">
        <v>59</v>
      </c>
      <c r="C22" s="71">
        <v>33</v>
      </c>
      <c r="D22" s="71">
        <v>20</v>
      </c>
      <c r="E22" s="71">
        <v>8</v>
      </c>
      <c r="F22" s="70">
        <f t="shared" si="1"/>
        <v>120</v>
      </c>
    </row>
    <row r="23" spans="1:6" x14ac:dyDescent="0.25">
      <c r="A23" s="72">
        <v>2024</v>
      </c>
      <c r="B23" s="2">
        <v>53</v>
      </c>
      <c r="C23" s="71">
        <v>33</v>
      </c>
      <c r="D23" s="71">
        <v>20</v>
      </c>
      <c r="E23" s="71">
        <v>22</v>
      </c>
      <c r="F23" s="70">
        <f>SUM(B23:E23)</f>
        <v>128</v>
      </c>
    </row>
    <row r="24" spans="1:6" x14ac:dyDescent="0.25">
      <c r="A24" s="72">
        <v>2025</v>
      </c>
      <c r="B24" s="2">
        <v>49</v>
      </c>
      <c r="C24" s="71">
        <v>30</v>
      </c>
      <c r="D24" s="71">
        <v>48</v>
      </c>
      <c r="E24" s="71">
        <v>6</v>
      </c>
      <c r="F24" s="70">
        <f>SUM(B24:E24)</f>
        <v>133</v>
      </c>
    </row>
    <row r="25" spans="1:6" x14ac:dyDescent="0.25">
      <c r="A25" s="69"/>
      <c r="B25" s="4"/>
      <c r="C25" s="67"/>
      <c r="D25" s="67"/>
      <c r="E25" s="67"/>
    </row>
    <row r="26" spans="1:6" x14ac:dyDescent="0.25">
      <c r="A26" s="69"/>
      <c r="B26" s="4"/>
      <c r="C26" s="67"/>
      <c r="D26" s="67"/>
      <c r="E26" s="67"/>
    </row>
    <row r="27" spans="1:6" x14ac:dyDescent="0.25">
      <c r="A27" s="69"/>
      <c r="B27" s="4"/>
      <c r="C27" s="67"/>
      <c r="D27" s="67"/>
      <c r="E27" s="67"/>
    </row>
    <row r="28" spans="1:6" x14ac:dyDescent="0.25">
      <c r="A28" s="69" t="s">
        <v>266</v>
      </c>
      <c r="B28" s="76" t="s">
        <v>288</v>
      </c>
      <c r="C28" s="75" t="s">
        <v>272</v>
      </c>
      <c r="D28" s="75" t="s">
        <v>273</v>
      </c>
      <c r="E28" s="74" t="s">
        <v>289</v>
      </c>
      <c r="F28" s="73" t="s">
        <v>287</v>
      </c>
    </row>
    <row r="29" spans="1:6" x14ac:dyDescent="0.25">
      <c r="A29" s="72">
        <v>2016</v>
      </c>
      <c r="B29" s="2">
        <v>6</v>
      </c>
      <c r="C29" s="71">
        <v>5</v>
      </c>
      <c r="D29" s="71">
        <v>9</v>
      </c>
      <c r="E29" s="71">
        <v>0</v>
      </c>
      <c r="F29" s="70">
        <f t="shared" ref="F29:F37" si="2">SUM(B29:E29)</f>
        <v>20</v>
      </c>
    </row>
    <row r="30" spans="1:6" x14ac:dyDescent="0.25">
      <c r="A30" s="72">
        <v>2017</v>
      </c>
      <c r="B30" s="2">
        <v>1</v>
      </c>
      <c r="C30" s="71">
        <v>4</v>
      </c>
      <c r="D30" s="71">
        <v>1</v>
      </c>
      <c r="E30" s="71">
        <v>0</v>
      </c>
      <c r="F30" s="70">
        <f t="shared" si="2"/>
        <v>6</v>
      </c>
    </row>
    <row r="31" spans="1:6" x14ac:dyDescent="0.25">
      <c r="A31" s="72">
        <v>2018</v>
      </c>
      <c r="B31" s="2">
        <v>3</v>
      </c>
      <c r="C31" s="71">
        <v>3</v>
      </c>
      <c r="D31" s="71">
        <v>2</v>
      </c>
      <c r="E31" s="71">
        <v>0</v>
      </c>
      <c r="F31" s="70">
        <f t="shared" si="2"/>
        <v>8</v>
      </c>
    </row>
    <row r="32" spans="1:6" x14ac:dyDescent="0.25">
      <c r="A32" s="72">
        <v>2019</v>
      </c>
      <c r="B32" s="2">
        <v>2</v>
      </c>
      <c r="C32" s="71">
        <v>2</v>
      </c>
      <c r="D32" s="71">
        <v>1</v>
      </c>
      <c r="E32" s="71">
        <v>1</v>
      </c>
      <c r="F32" s="70">
        <f t="shared" si="2"/>
        <v>6</v>
      </c>
    </row>
    <row r="33" spans="1:23" x14ac:dyDescent="0.25">
      <c r="A33" s="72">
        <v>2020</v>
      </c>
      <c r="B33" s="2">
        <v>2</v>
      </c>
      <c r="C33" s="71">
        <v>6</v>
      </c>
      <c r="D33" s="71">
        <v>3</v>
      </c>
      <c r="E33" s="71">
        <v>0</v>
      </c>
      <c r="F33" s="70">
        <f t="shared" si="2"/>
        <v>11</v>
      </c>
    </row>
    <row r="34" spans="1:23" x14ac:dyDescent="0.25">
      <c r="A34" s="72">
        <v>2021</v>
      </c>
      <c r="B34" s="2">
        <v>2</v>
      </c>
      <c r="C34" s="71">
        <v>3</v>
      </c>
      <c r="D34" s="71">
        <v>4</v>
      </c>
      <c r="E34" s="71">
        <v>4</v>
      </c>
      <c r="F34" s="70">
        <f t="shared" si="2"/>
        <v>13</v>
      </c>
    </row>
    <row r="35" spans="1:23" x14ac:dyDescent="0.25">
      <c r="A35" s="72">
        <v>2022</v>
      </c>
      <c r="B35" s="2">
        <v>8</v>
      </c>
      <c r="C35" s="71">
        <v>2</v>
      </c>
      <c r="D35" s="71">
        <v>2</v>
      </c>
      <c r="E35" s="71">
        <v>0</v>
      </c>
      <c r="F35" s="70">
        <f t="shared" si="2"/>
        <v>12</v>
      </c>
    </row>
    <row r="36" spans="1:23" x14ac:dyDescent="0.25">
      <c r="A36" s="72">
        <v>2023</v>
      </c>
      <c r="B36" s="2">
        <v>8</v>
      </c>
      <c r="C36" s="71">
        <v>1</v>
      </c>
      <c r="D36" s="71">
        <v>1</v>
      </c>
      <c r="E36" s="71">
        <v>0</v>
      </c>
      <c r="F36" s="70">
        <f t="shared" si="2"/>
        <v>10</v>
      </c>
    </row>
    <row r="37" spans="1:23" x14ac:dyDescent="0.25">
      <c r="A37" s="72">
        <v>2024</v>
      </c>
      <c r="B37" s="2">
        <v>4</v>
      </c>
      <c r="C37" s="71">
        <v>0</v>
      </c>
      <c r="D37" s="71">
        <v>1</v>
      </c>
      <c r="E37" s="71">
        <v>1</v>
      </c>
      <c r="F37" s="70">
        <f t="shared" si="2"/>
        <v>6</v>
      </c>
    </row>
    <row r="38" spans="1:23" x14ac:dyDescent="0.25">
      <c r="A38" s="72">
        <v>2025</v>
      </c>
      <c r="B38" s="2">
        <v>3</v>
      </c>
      <c r="C38" s="71">
        <v>2</v>
      </c>
      <c r="D38" s="71">
        <v>1</v>
      </c>
      <c r="E38" s="71">
        <v>0</v>
      </c>
      <c r="F38" s="70">
        <f>SUM(B38:E38)</f>
        <v>6</v>
      </c>
    </row>
    <row r="39" spans="1:23" x14ac:dyDescent="0.25">
      <c r="A39" s="69"/>
      <c r="B39" s="4"/>
      <c r="C39" s="67"/>
      <c r="D39" s="67"/>
      <c r="E39" s="67"/>
    </row>
    <row r="40" spans="1:23" x14ac:dyDescent="0.25">
      <c r="A40" s="69"/>
      <c r="B40" s="4"/>
      <c r="C40" s="67"/>
      <c r="D40" s="67"/>
      <c r="E40" s="67"/>
    </row>
    <row r="41" spans="1:23" x14ac:dyDescent="0.25">
      <c r="A41" s="69"/>
      <c r="B41" s="4"/>
      <c r="C41" s="67"/>
      <c r="D41" s="67"/>
      <c r="E41" s="67"/>
    </row>
    <row r="42" spans="1:23" ht="25.5" x14ac:dyDescent="0.25">
      <c r="A42" s="101" t="s">
        <v>426</v>
      </c>
      <c r="B42" s="76" t="s">
        <v>288</v>
      </c>
      <c r="C42" s="75" t="s">
        <v>272</v>
      </c>
      <c r="D42" s="75" t="s">
        <v>273</v>
      </c>
      <c r="E42" s="74" t="s">
        <v>289</v>
      </c>
      <c r="F42" s="73" t="s">
        <v>287</v>
      </c>
      <c r="R42" s="69">
        <v>2025</v>
      </c>
      <c r="S42" s="76" t="s">
        <v>288</v>
      </c>
      <c r="T42" s="75" t="s">
        <v>272</v>
      </c>
      <c r="U42" s="75" t="s">
        <v>273</v>
      </c>
      <c r="V42" s="74" t="s">
        <v>289</v>
      </c>
      <c r="W42" s="73" t="s">
        <v>287</v>
      </c>
    </row>
    <row r="43" spans="1:23" x14ac:dyDescent="0.25">
      <c r="A43" s="72">
        <v>2016</v>
      </c>
      <c r="B43" s="2">
        <f t="shared" ref="B43:E49" si="3">SUM(B15+B29)</f>
        <v>52</v>
      </c>
      <c r="C43" s="71">
        <f t="shared" si="3"/>
        <v>69</v>
      </c>
      <c r="D43" s="71">
        <f t="shared" si="3"/>
        <v>92</v>
      </c>
      <c r="E43" s="71">
        <f t="shared" si="3"/>
        <v>0</v>
      </c>
      <c r="F43" s="70">
        <f t="shared" ref="F43:F51" si="4">SUM(B43:E43)</f>
        <v>213</v>
      </c>
      <c r="R43" s="72" t="s">
        <v>178</v>
      </c>
      <c r="S43" s="2">
        <v>28</v>
      </c>
      <c r="T43" s="71">
        <v>18</v>
      </c>
      <c r="U43" s="71">
        <v>11</v>
      </c>
      <c r="V43" s="71">
        <v>68</v>
      </c>
      <c r="W43" s="70">
        <f>SUM(S43:V43)</f>
        <v>125</v>
      </c>
    </row>
    <row r="44" spans="1:23" x14ac:dyDescent="0.25">
      <c r="A44" s="72">
        <v>2017</v>
      </c>
      <c r="B44" s="2">
        <f t="shared" si="3"/>
        <v>50</v>
      </c>
      <c r="C44" s="71">
        <f t="shared" si="3"/>
        <v>63</v>
      </c>
      <c r="D44" s="71">
        <f t="shared" si="3"/>
        <v>55</v>
      </c>
      <c r="E44" s="71">
        <f t="shared" si="3"/>
        <v>11</v>
      </c>
      <c r="F44" s="70">
        <f t="shared" si="4"/>
        <v>179</v>
      </c>
      <c r="R44" s="72" t="s">
        <v>427</v>
      </c>
      <c r="S44" s="2">
        <v>32</v>
      </c>
      <c r="T44" s="71">
        <v>20</v>
      </c>
      <c r="U44" s="71">
        <v>12</v>
      </c>
      <c r="V44" s="71">
        <v>61</v>
      </c>
      <c r="W44" s="70">
        <f t="shared" ref="W44:W52" si="5">SUM(S44:V44)</f>
        <v>125</v>
      </c>
    </row>
    <row r="45" spans="1:23" x14ac:dyDescent="0.25">
      <c r="A45" s="72">
        <v>2018</v>
      </c>
      <c r="B45" s="2">
        <f t="shared" si="3"/>
        <v>47</v>
      </c>
      <c r="C45" s="71">
        <f t="shared" si="3"/>
        <v>41</v>
      </c>
      <c r="D45" s="71">
        <f t="shared" si="3"/>
        <v>51</v>
      </c>
      <c r="E45" s="71">
        <f t="shared" si="3"/>
        <v>22</v>
      </c>
      <c r="F45" s="70">
        <f t="shared" si="4"/>
        <v>161</v>
      </c>
      <c r="R45" s="72" t="s">
        <v>428</v>
      </c>
      <c r="S45" s="2">
        <v>41</v>
      </c>
      <c r="T45" s="71">
        <v>32</v>
      </c>
      <c r="U45" s="71">
        <v>42</v>
      </c>
      <c r="V45" s="71">
        <v>13</v>
      </c>
      <c r="W45" s="70">
        <f t="shared" si="5"/>
        <v>128</v>
      </c>
    </row>
    <row r="46" spans="1:23" x14ac:dyDescent="0.25">
      <c r="A46" s="72">
        <v>2019</v>
      </c>
      <c r="B46" s="2">
        <f t="shared" si="3"/>
        <v>33</v>
      </c>
      <c r="C46" s="71">
        <f t="shared" si="3"/>
        <v>48</v>
      </c>
      <c r="D46" s="71">
        <f t="shared" si="3"/>
        <v>49</v>
      </c>
      <c r="E46" s="71">
        <f t="shared" si="3"/>
        <v>25</v>
      </c>
      <c r="F46" s="70">
        <f t="shared" si="4"/>
        <v>155</v>
      </c>
      <c r="R46" s="72" t="s">
        <v>429</v>
      </c>
      <c r="S46" s="2">
        <v>45</v>
      </c>
      <c r="T46" s="71">
        <v>31</v>
      </c>
      <c r="U46" s="71">
        <v>42</v>
      </c>
      <c r="V46" s="71">
        <v>10</v>
      </c>
      <c r="W46" s="70">
        <f t="shared" si="5"/>
        <v>128</v>
      </c>
    </row>
    <row r="47" spans="1:23" x14ac:dyDescent="0.25">
      <c r="A47" s="72">
        <v>2020</v>
      </c>
      <c r="B47" s="2">
        <f t="shared" si="3"/>
        <v>38</v>
      </c>
      <c r="C47" s="71">
        <f t="shared" si="3"/>
        <v>37</v>
      </c>
      <c r="D47" s="71">
        <f t="shared" si="3"/>
        <v>52</v>
      </c>
      <c r="E47" s="71">
        <f t="shared" si="3"/>
        <v>20</v>
      </c>
      <c r="F47" s="70">
        <f t="shared" si="4"/>
        <v>147</v>
      </c>
      <c r="R47" s="72" t="s">
        <v>430</v>
      </c>
      <c r="S47" s="2">
        <v>54</v>
      </c>
      <c r="T47" s="71">
        <v>28</v>
      </c>
      <c r="U47" s="71">
        <v>39</v>
      </c>
      <c r="V47" s="71">
        <v>8</v>
      </c>
      <c r="W47" s="70">
        <f t="shared" si="5"/>
        <v>129</v>
      </c>
    </row>
    <row r="48" spans="1:23" x14ac:dyDescent="0.25">
      <c r="A48" s="72">
        <v>2021</v>
      </c>
      <c r="B48" s="2">
        <f t="shared" si="3"/>
        <v>41</v>
      </c>
      <c r="C48" s="71">
        <f t="shared" si="3"/>
        <v>47</v>
      </c>
      <c r="D48" s="71">
        <f t="shared" si="3"/>
        <v>53</v>
      </c>
      <c r="E48" s="71">
        <f t="shared" si="3"/>
        <v>7</v>
      </c>
      <c r="F48" s="70">
        <f t="shared" si="4"/>
        <v>148</v>
      </c>
      <c r="R48" s="72" t="s">
        <v>431</v>
      </c>
      <c r="S48" s="2">
        <v>48</v>
      </c>
      <c r="T48" s="71">
        <v>34</v>
      </c>
      <c r="U48" s="71">
        <v>40</v>
      </c>
      <c r="V48" s="71">
        <v>8</v>
      </c>
      <c r="W48" s="70">
        <f t="shared" si="5"/>
        <v>130</v>
      </c>
    </row>
    <row r="49" spans="1:23" x14ac:dyDescent="0.25">
      <c r="A49" s="72">
        <v>2022</v>
      </c>
      <c r="B49" s="2">
        <f t="shared" si="3"/>
        <v>70</v>
      </c>
      <c r="C49" s="71">
        <f t="shared" si="3"/>
        <v>37</v>
      </c>
      <c r="D49" s="71">
        <f t="shared" si="3"/>
        <v>24</v>
      </c>
      <c r="E49" s="71">
        <f t="shared" si="3"/>
        <v>6</v>
      </c>
      <c r="F49" s="70">
        <f t="shared" si="4"/>
        <v>137</v>
      </c>
      <c r="R49" s="72" t="s">
        <v>432</v>
      </c>
      <c r="S49" s="2">
        <v>51</v>
      </c>
      <c r="T49" s="71">
        <v>30</v>
      </c>
      <c r="U49" s="71">
        <v>45</v>
      </c>
      <c r="V49" s="71">
        <v>8</v>
      </c>
      <c r="W49" s="70">
        <f t="shared" si="5"/>
        <v>134</v>
      </c>
    </row>
    <row r="50" spans="1:23" x14ac:dyDescent="0.25">
      <c r="A50" s="72">
        <v>2023</v>
      </c>
      <c r="B50" s="2">
        <v>67</v>
      </c>
      <c r="C50" s="71">
        <v>34</v>
      </c>
      <c r="D50" s="71">
        <v>21</v>
      </c>
      <c r="E50" s="71">
        <v>8</v>
      </c>
      <c r="F50" s="70">
        <f t="shared" si="4"/>
        <v>130</v>
      </c>
      <c r="R50" s="72" t="s">
        <v>433</v>
      </c>
      <c r="S50" s="2">
        <v>52</v>
      </c>
      <c r="T50" s="71">
        <v>27</v>
      </c>
      <c r="U50" s="71">
        <v>47</v>
      </c>
      <c r="V50" s="71">
        <v>8</v>
      </c>
      <c r="W50" s="70">
        <f t="shared" si="5"/>
        <v>134</v>
      </c>
    </row>
    <row r="51" spans="1:23" x14ac:dyDescent="0.25">
      <c r="A51" s="72">
        <v>2024</v>
      </c>
      <c r="B51" s="2">
        <v>57</v>
      </c>
      <c r="C51" s="71">
        <v>33</v>
      </c>
      <c r="D51" s="71">
        <v>21</v>
      </c>
      <c r="E51" s="71">
        <v>23</v>
      </c>
      <c r="F51" s="70">
        <f t="shared" si="4"/>
        <v>134</v>
      </c>
      <c r="R51" s="72" t="s">
        <v>434</v>
      </c>
      <c r="S51" s="2">
        <v>56</v>
      </c>
      <c r="T51" s="71">
        <v>30</v>
      </c>
      <c r="U51" s="71">
        <v>44</v>
      </c>
      <c r="V51" s="71">
        <v>8</v>
      </c>
      <c r="W51" s="70">
        <f t="shared" si="5"/>
        <v>138</v>
      </c>
    </row>
    <row r="52" spans="1:23" x14ac:dyDescent="0.25">
      <c r="A52" s="72">
        <v>2025</v>
      </c>
      <c r="B52" s="2">
        <v>52</v>
      </c>
      <c r="C52" s="71">
        <v>32</v>
      </c>
      <c r="D52" s="71">
        <v>49</v>
      </c>
      <c r="E52" s="71">
        <v>6</v>
      </c>
      <c r="F52" s="70">
        <f>SUM(B52:E52)</f>
        <v>139</v>
      </c>
      <c r="R52" s="72" t="s">
        <v>435</v>
      </c>
      <c r="S52" s="2">
        <v>60</v>
      </c>
      <c r="T52" s="71">
        <v>28</v>
      </c>
      <c r="U52" s="71">
        <v>43</v>
      </c>
      <c r="V52" s="71">
        <v>8</v>
      </c>
      <c r="W52" s="70">
        <f t="shared" si="5"/>
        <v>139</v>
      </c>
    </row>
    <row r="53" spans="1:23" x14ac:dyDescent="0.25">
      <c r="A53" s="69"/>
      <c r="B53" s="4"/>
      <c r="C53" s="67"/>
      <c r="D53" s="67"/>
      <c r="E53" s="67"/>
      <c r="R53" s="72" t="s">
        <v>436</v>
      </c>
      <c r="S53" s="2">
        <v>52</v>
      </c>
      <c r="T53" s="71">
        <v>32</v>
      </c>
      <c r="U53" s="71">
        <v>49</v>
      </c>
      <c r="V53" s="71">
        <v>6</v>
      </c>
      <c r="W53" s="70">
        <f>SUM(S53:V53)</f>
        <v>139</v>
      </c>
    </row>
    <row r="54" spans="1:23" x14ac:dyDescent="0.25">
      <c r="A54" s="69"/>
      <c r="B54" s="4"/>
      <c r="C54" s="67"/>
      <c r="D54" s="67"/>
      <c r="E54" s="67"/>
    </row>
    <row r="55" spans="1:23" x14ac:dyDescent="0.25">
      <c r="A55" s="69"/>
      <c r="B55" s="4"/>
      <c r="C55" s="67"/>
      <c r="D55" s="67"/>
      <c r="E55" s="67"/>
    </row>
    <row r="56" spans="1:23" x14ac:dyDescent="0.25">
      <c r="A56" s="69"/>
      <c r="B56" s="4"/>
      <c r="C56" s="67"/>
      <c r="D56" s="67"/>
      <c r="E56" s="67"/>
    </row>
    <row r="57" spans="1:23" x14ac:dyDescent="0.25">
      <c r="A57" s="69"/>
      <c r="B57" s="4"/>
      <c r="C57" s="67"/>
      <c r="D57" s="67"/>
      <c r="E57" s="67"/>
    </row>
    <row r="58" spans="1:23" x14ac:dyDescent="0.25">
      <c r="A58" s="69"/>
      <c r="B58" s="4"/>
      <c r="C58" s="67"/>
      <c r="D58" s="67"/>
      <c r="E58" s="67"/>
    </row>
    <row r="59" spans="1:23" x14ac:dyDescent="0.25">
      <c r="A59" s="69"/>
      <c r="B59" s="4"/>
      <c r="C59" s="67"/>
      <c r="D59" s="67"/>
      <c r="E59" s="67"/>
    </row>
    <row r="60" spans="1:23" x14ac:dyDescent="0.25">
      <c r="A60" s="69"/>
      <c r="B60" s="4"/>
      <c r="C60" s="67"/>
      <c r="D60" s="67"/>
      <c r="E60" s="67"/>
    </row>
    <row r="61" spans="1:23" x14ac:dyDescent="0.25">
      <c r="A61" s="69"/>
      <c r="B61" s="4"/>
      <c r="C61" s="67"/>
      <c r="D61" s="67"/>
      <c r="E61" s="67"/>
    </row>
    <row r="62" spans="1:23" x14ac:dyDescent="0.25">
      <c r="A62" s="69"/>
      <c r="B62" s="4"/>
      <c r="C62" s="67"/>
      <c r="D62" s="67"/>
      <c r="E62" s="67"/>
    </row>
    <row r="63" spans="1:23" x14ac:dyDescent="0.25">
      <c r="A63" s="69"/>
      <c r="B63" s="4"/>
      <c r="C63" s="67"/>
      <c r="D63" s="67"/>
      <c r="E63" s="67"/>
    </row>
    <row r="64" spans="1:23" x14ac:dyDescent="0.25">
      <c r="A64" s="69"/>
      <c r="B64" s="4"/>
      <c r="C64" s="67"/>
      <c r="D64" s="67"/>
      <c r="E64" s="67"/>
    </row>
    <row r="65" spans="1:5" x14ac:dyDescent="0.25">
      <c r="A65" s="69"/>
      <c r="B65" s="4"/>
      <c r="C65" s="67"/>
      <c r="D65" s="67"/>
      <c r="E65" s="67"/>
    </row>
    <row r="66" spans="1:5" x14ac:dyDescent="0.25">
      <c r="A66" s="69"/>
      <c r="B66" s="4"/>
      <c r="C66" s="67"/>
      <c r="D66" s="67"/>
      <c r="E66" s="67"/>
    </row>
    <row r="67" spans="1:5" x14ac:dyDescent="0.25">
      <c r="A67" s="69"/>
      <c r="B67" s="4"/>
      <c r="C67" s="67"/>
      <c r="D67" s="67"/>
      <c r="E67" s="67"/>
    </row>
    <row r="68" spans="1:5" x14ac:dyDescent="0.25">
      <c r="A68" s="69"/>
      <c r="B68" s="4"/>
      <c r="C68" s="67"/>
      <c r="D68" s="67"/>
      <c r="E68" s="67"/>
    </row>
    <row r="69" spans="1:5" x14ac:dyDescent="0.25">
      <c r="A69" s="69"/>
      <c r="B69" s="4"/>
      <c r="C69" s="67"/>
      <c r="D69" s="67"/>
      <c r="E69" s="67"/>
    </row>
    <row r="70" spans="1:5" x14ac:dyDescent="0.25">
      <c r="A70" s="69"/>
      <c r="B70" s="4"/>
      <c r="C70" s="67"/>
      <c r="D70" s="67"/>
      <c r="E70" s="67"/>
    </row>
    <row r="71" spans="1:5" x14ac:dyDescent="0.25">
      <c r="A71" s="69"/>
      <c r="B71" s="4"/>
      <c r="C71" s="67"/>
      <c r="D71" s="67"/>
      <c r="E71" s="67"/>
    </row>
    <row r="72" spans="1:5" x14ac:dyDescent="0.25">
      <c r="A72" s="69"/>
      <c r="B72" s="4"/>
      <c r="C72" s="67"/>
      <c r="D72" s="67"/>
      <c r="E72" s="67"/>
    </row>
    <row r="73" spans="1:5" x14ac:dyDescent="0.25">
      <c r="A73" s="69"/>
      <c r="B73" s="4"/>
      <c r="C73" s="67"/>
      <c r="D73" s="67"/>
      <c r="E73" s="67"/>
    </row>
    <row r="74" spans="1:5" x14ac:dyDescent="0.25">
      <c r="A74" s="69"/>
      <c r="B74" s="4"/>
      <c r="C74" s="67"/>
      <c r="D74" s="67"/>
      <c r="E74" s="67"/>
    </row>
    <row r="75" spans="1:5" x14ac:dyDescent="0.25">
      <c r="A75" s="69"/>
      <c r="B75" s="4"/>
      <c r="C75" s="67"/>
      <c r="D75" s="67"/>
      <c r="E75" s="67"/>
    </row>
    <row r="76" spans="1:5" x14ac:dyDescent="0.25">
      <c r="A76" s="69"/>
      <c r="B76" s="4"/>
      <c r="C76" s="67"/>
      <c r="D76" s="67"/>
      <c r="E76" s="67"/>
    </row>
    <row r="77" spans="1:5" x14ac:dyDescent="0.25">
      <c r="A77" s="69"/>
      <c r="B77" s="4"/>
      <c r="C77" s="67"/>
      <c r="D77" s="67"/>
      <c r="E77" s="67"/>
    </row>
    <row r="78" spans="1:5" x14ac:dyDescent="0.25">
      <c r="A78" s="69"/>
      <c r="B78" s="4"/>
      <c r="C78" s="67"/>
      <c r="D78" s="67"/>
      <c r="E78" s="67"/>
    </row>
    <row r="79" spans="1:5" x14ac:dyDescent="0.25">
      <c r="A79" s="69"/>
      <c r="B79" s="4"/>
      <c r="C79" s="67"/>
      <c r="D79" s="67"/>
      <c r="E79" s="67"/>
    </row>
    <row r="80" spans="1:5" x14ac:dyDescent="0.25">
      <c r="A80" s="69"/>
      <c r="B80" s="4"/>
      <c r="C80" s="67"/>
      <c r="D80" s="67"/>
      <c r="E80" s="67"/>
    </row>
    <row r="81" spans="1:5" x14ac:dyDescent="0.25">
      <c r="A81" s="69"/>
      <c r="B81" s="4"/>
      <c r="C81" s="67"/>
      <c r="D81" s="67"/>
      <c r="E81" s="67"/>
    </row>
    <row r="82" spans="1:5" x14ac:dyDescent="0.25">
      <c r="A82" s="69"/>
      <c r="B82" s="4"/>
      <c r="C82" s="67"/>
      <c r="D82" s="67"/>
      <c r="E82" s="67"/>
    </row>
    <row r="83" spans="1:5" x14ac:dyDescent="0.25">
      <c r="A83" s="69"/>
      <c r="B83" s="4"/>
      <c r="C83" s="67"/>
      <c r="D83" s="67"/>
      <c r="E83" s="67"/>
    </row>
    <row r="84" spans="1:5" x14ac:dyDescent="0.25">
      <c r="A84" s="69"/>
      <c r="B84" s="4"/>
      <c r="C84" s="67"/>
      <c r="D84" s="67"/>
      <c r="E84" s="67"/>
    </row>
    <row r="85" spans="1:5" x14ac:dyDescent="0.25">
      <c r="A85" s="69"/>
      <c r="B85" s="4"/>
      <c r="C85" s="67"/>
      <c r="D85" s="67"/>
      <c r="E85" s="67"/>
    </row>
    <row r="86" spans="1:5" x14ac:dyDescent="0.25">
      <c r="A86" s="69"/>
      <c r="B86" s="4"/>
      <c r="C86" s="67"/>
      <c r="D86" s="67"/>
      <c r="E86" s="67"/>
    </row>
    <row r="87" spans="1:5" x14ac:dyDescent="0.25">
      <c r="A87" s="69"/>
      <c r="B87" s="4"/>
      <c r="C87" s="67"/>
      <c r="D87" s="67"/>
      <c r="E87" s="67"/>
    </row>
    <row r="88" spans="1:5" x14ac:dyDescent="0.25">
      <c r="A88" s="69"/>
      <c r="B88" s="4"/>
      <c r="C88" s="67"/>
      <c r="D88" s="67"/>
      <c r="E88" s="67"/>
    </row>
    <row r="89" spans="1:5" x14ac:dyDescent="0.25">
      <c r="A89" s="69"/>
      <c r="B89" s="4"/>
      <c r="C89" s="67"/>
      <c r="D89" s="67"/>
      <c r="E89" s="67"/>
    </row>
    <row r="90" spans="1:5" x14ac:dyDescent="0.25">
      <c r="A90" s="69"/>
      <c r="B90" s="4"/>
      <c r="C90" s="67"/>
      <c r="D90" s="67"/>
      <c r="E90" s="67"/>
    </row>
    <row r="91" spans="1:5" x14ac:dyDescent="0.25">
      <c r="A91" s="69"/>
      <c r="B91" s="4"/>
      <c r="C91" s="67"/>
      <c r="D91" s="67"/>
      <c r="E91" s="67"/>
    </row>
    <row r="92" spans="1:5" x14ac:dyDescent="0.25">
      <c r="A92" s="69"/>
      <c r="B92" s="4"/>
      <c r="C92" s="67"/>
      <c r="D92" s="67"/>
      <c r="E92" s="67"/>
    </row>
    <row r="93" spans="1:5" x14ac:dyDescent="0.25">
      <c r="A93" s="69"/>
      <c r="B93" s="4"/>
      <c r="C93" s="67"/>
      <c r="D93" s="67"/>
      <c r="E93" s="67"/>
    </row>
    <row r="94" spans="1:5" x14ac:dyDescent="0.25">
      <c r="A94" s="69"/>
      <c r="B94" s="4"/>
      <c r="C94" s="67"/>
      <c r="D94" s="67"/>
      <c r="E94" s="67"/>
    </row>
    <row r="95" spans="1:5" x14ac:dyDescent="0.25">
      <c r="A95" s="69"/>
      <c r="B95" s="4"/>
      <c r="C95" s="67"/>
      <c r="D95" s="67"/>
      <c r="E95" s="67"/>
    </row>
    <row r="96" spans="1:5" x14ac:dyDescent="0.25">
      <c r="A96" s="69"/>
      <c r="B96" s="4"/>
      <c r="C96" s="67"/>
      <c r="D96" s="67"/>
      <c r="E96" s="67"/>
    </row>
    <row r="97" spans="1:5" x14ac:dyDescent="0.25">
      <c r="A97" s="69"/>
      <c r="B97" s="4"/>
      <c r="C97" s="67"/>
      <c r="D97" s="67"/>
      <c r="E97" s="67"/>
    </row>
    <row r="98" spans="1:5" x14ac:dyDescent="0.25">
      <c r="A98" s="69"/>
      <c r="B98" s="4"/>
      <c r="C98" s="67"/>
      <c r="D98" s="67"/>
      <c r="E98" s="67"/>
    </row>
    <row r="99" spans="1:5" x14ac:dyDescent="0.25">
      <c r="A99" s="69"/>
      <c r="B99" s="4"/>
      <c r="C99" s="67"/>
      <c r="D99" s="67"/>
      <c r="E99" s="67"/>
    </row>
    <row r="100" spans="1:5" x14ac:dyDescent="0.25">
      <c r="A100" s="69"/>
      <c r="B100" s="4"/>
      <c r="C100" s="67"/>
      <c r="D100" s="67"/>
      <c r="E100" s="67"/>
    </row>
    <row r="101" spans="1:5" x14ac:dyDescent="0.25">
      <c r="A101" s="69"/>
      <c r="B101" s="4"/>
      <c r="C101" s="67"/>
      <c r="D101" s="67"/>
      <c r="E101" s="67"/>
    </row>
    <row r="102" spans="1:5" x14ac:dyDescent="0.25">
      <c r="A102" s="69"/>
      <c r="B102" s="4"/>
      <c r="C102" s="67"/>
      <c r="D102" s="67"/>
      <c r="E102" s="67"/>
    </row>
    <row r="103" spans="1:5" x14ac:dyDescent="0.25">
      <c r="A103" s="69"/>
      <c r="B103" s="4"/>
      <c r="C103" s="67"/>
      <c r="D103" s="67"/>
      <c r="E103" s="67"/>
    </row>
    <row r="104" spans="1:5" x14ac:dyDescent="0.25">
      <c r="A104" s="69"/>
      <c r="B104" s="4"/>
      <c r="C104" s="67"/>
      <c r="D104" s="67"/>
      <c r="E104" s="67"/>
    </row>
    <row r="105" spans="1:5" x14ac:dyDescent="0.25">
      <c r="A105" s="69"/>
      <c r="B105" s="4"/>
      <c r="C105" s="67"/>
      <c r="D105" s="67"/>
      <c r="E105" s="67"/>
    </row>
    <row r="106" spans="1:5" x14ac:dyDescent="0.25">
      <c r="A106" s="69"/>
      <c r="B106" s="4"/>
      <c r="C106" s="67"/>
      <c r="D106" s="67"/>
      <c r="E106" s="67"/>
    </row>
    <row r="107" spans="1:5" x14ac:dyDescent="0.25">
      <c r="A107" s="69"/>
      <c r="B107" s="4"/>
      <c r="C107" s="67"/>
      <c r="D107" s="67"/>
      <c r="E107" s="67"/>
    </row>
    <row r="108" spans="1:5" x14ac:dyDescent="0.25">
      <c r="A108" s="68"/>
      <c r="B108" s="4"/>
      <c r="C108" s="67"/>
      <c r="D108" s="67"/>
      <c r="E108" s="67"/>
    </row>
    <row r="109" spans="1:5" x14ac:dyDescent="0.25">
      <c r="A109" s="68"/>
      <c r="B109" s="4"/>
      <c r="C109" s="67"/>
      <c r="D109" s="67"/>
      <c r="E109" s="67"/>
    </row>
    <row r="110" spans="1:5" x14ac:dyDescent="0.25">
      <c r="A110" s="68"/>
      <c r="B110" s="4"/>
      <c r="C110" s="67"/>
      <c r="D110" s="67"/>
      <c r="E110" s="67"/>
    </row>
    <row r="111" spans="1:5" x14ac:dyDescent="0.25">
      <c r="A111" s="68"/>
      <c r="B111" s="4"/>
      <c r="C111" s="67"/>
      <c r="D111" s="67"/>
      <c r="E111" s="67"/>
    </row>
    <row r="112" spans="1:5" x14ac:dyDescent="0.25">
      <c r="A112" s="68"/>
      <c r="B112" s="4"/>
      <c r="C112" s="67"/>
      <c r="D112" s="67"/>
      <c r="E112" s="67"/>
    </row>
    <row r="113" spans="1:5" x14ac:dyDescent="0.25">
      <c r="A113" s="68"/>
      <c r="B113" s="4"/>
      <c r="C113" s="67"/>
      <c r="D113" s="67"/>
      <c r="E113" s="67"/>
    </row>
    <row r="114" spans="1:5" x14ac:dyDescent="0.25">
      <c r="A114" s="68"/>
      <c r="B114" s="4"/>
      <c r="C114" s="67"/>
      <c r="D114" s="67"/>
      <c r="E114" s="67"/>
    </row>
    <row r="115" spans="1:5" x14ac:dyDescent="0.25">
      <c r="A115" s="68"/>
      <c r="B115" s="4"/>
      <c r="C115" s="67"/>
      <c r="D115" s="67"/>
      <c r="E115" s="67"/>
    </row>
    <row r="116" spans="1:5" x14ac:dyDescent="0.25">
      <c r="A116" s="68"/>
      <c r="B116" s="4"/>
      <c r="C116" s="67"/>
      <c r="D116" s="67"/>
      <c r="E116" s="67"/>
    </row>
  </sheetData>
  <phoneticPr fontId="14" type="noConversion"/>
  <conditionalFormatting sqref="C74 C39 C41 C53:C56 C58:C62 C64:C71 C80:C94 C99:C116 C25:C27 D26:E26 D40:E41 C12:C13 D12:E14 E10:E11">
    <cfRule type="containsText" dxfId="2899" priority="494" operator="containsText" text="MODERADO">
      <formula>NOT(ISERROR(SEARCH("MODERADO",C10)))</formula>
    </cfRule>
    <cfRule type="containsText" dxfId="2898" priority="495" operator="containsText" text="SANO">
      <formula>NOT(ISERROR(SEARCH("SANO",C10)))</formula>
    </cfRule>
    <cfRule type="containsText" dxfId="2897" priority="496" operator="containsText" text="ALTO">
      <formula>NOT(ISERROR(SEARCH("ALTO",C10)))</formula>
    </cfRule>
    <cfRule type="containsText" dxfId="2896" priority="497" operator="containsText" text="BAJO">
      <formula>NOT(ISERROR(SEARCH("BAJO",C10)))</formula>
    </cfRule>
    <cfRule type="containsText" dxfId="2895" priority="498" operator="containsText" text="FALTA">
      <formula>NOT(ISERROR(SEARCH("FALTA",C10)))</formula>
    </cfRule>
  </conditionalFormatting>
  <conditionalFormatting sqref="C74 C39 C41 C53:C56 C58:C62 C64:C71 C80:C94 C99:C116 C25:C27 D26:E26 D40:E41 C12:C13 D12:E14 E10:E11">
    <cfRule type="containsText" dxfId="2894" priority="493" operator="containsText" text="N/A">
      <formula>NOT(ISERROR(SEARCH("N/A",C10)))</formula>
    </cfRule>
  </conditionalFormatting>
  <conditionalFormatting sqref="C74 C39 C41 C53:C56 C58:C62 C64:C71 C80:C94 C99:C116 C25:C27 D26:E26 D39:E41 C12:C13 D12:E14 E10:E11">
    <cfRule type="containsText" dxfId="2893" priority="492" operator="containsText" text="MEDIO">
      <formula>NOT(ISERROR(SEARCH("MEDIO",C10)))</formula>
    </cfRule>
  </conditionalFormatting>
  <conditionalFormatting sqref="C95:C98">
    <cfRule type="containsText" dxfId="2892" priority="481" operator="containsText" text="MODERADO">
      <formula>NOT(ISERROR(SEARCH("MODERADO",C95)))</formula>
    </cfRule>
    <cfRule type="containsText" dxfId="2891" priority="482" operator="containsText" text="SANO">
      <formula>NOT(ISERROR(SEARCH("SANO",C95)))</formula>
    </cfRule>
    <cfRule type="containsText" dxfId="2890" priority="483" operator="containsText" text="ALTO">
      <formula>NOT(ISERROR(SEARCH("ALTO",C95)))</formula>
    </cfRule>
    <cfRule type="containsText" dxfId="2889" priority="484" operator="containsText" text="BAJO">
      <formula>NOT(ISERROR(SEARCH("BAJO",C95)))</formula>
    </cfRule>
    <cfRule type="containsText" dxfId="2888" priority="485" operator="containsText" text="FALTA">
      <formula>NOT(ISERROR(SEARCH("FALTA",C95)))</formula>
    </cfRule>
  </conditionalFormatting>
  <conditionalFormatting sqref="C95:C98">
    <cfRule type="containsText" dxfId="2887" priority="480" operator="containsText" text="N/A">
      <formula>NOT(ISERROR(SEARCH("N/A",C95)))</formula>
    </cfRule>
  </conditionalFormatting>
  <conditionalFormatting sqref="C95:C98">
    <cfRule type="containsText" dxfId="2886" priority="479" operator="containsText" text="MEDIO">
      <formula>NOT(ISERROR(SEARCH("MEDIO",C95)))</formula>
    </cfRule>
  </conditionalFormatting>
  <conditionalFormatting sqref="C95:C98">
    <cfRule type="containsText" dxfId="2885" priority="486" operator="containsText" text="BAJO">
      <formula>NOT(ISERROR(SEARCH("BAJO",C95)))</formula>
    </cfRule>
    <cfRule type="containsText" dxfId="2884" priority="487" operator="containsText" text="MODERADO">
      <formula>NOT(ISERROR(SEARCH("MODERADO",C95)))</formula>
    </cfRule>
    <cfRule type="containsText" dxfId="2883" priority="488" operator="containsText" text="SANO">
      <formula>NOT(ISERROR(SEARCH("SANO",C95)))</formula>
    </cfRule>
    <cfRule type="containsText" dxfId="2882" priority="489" operator="containsText" text="ALTO">
      <formula>NOT(ISERROR(SEARCH("ALTO",C95)))</formula>
    </cfRule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881" priority="491" operator="containsText" text="ALTO">
      <formula>NOT(ISERROR(SEARCH("ALTO",C95)))</formula>
    </cfRule>
  </conditionalFormatting>
  <conditionalFormatting sqref="C40">
    <cfRule type="containsText" dxfId="2880" priority="468" operator="containsText" text="MODERADO">
      <formula>NOT(ISERROR(SEARCH("MODERADO",C40)))</formula>
    </cfRule>
    <cfRule type="containsText" dxfId="2879" priority="469" operator="containsText" text="SANO">
      <formula>NOT(ISERROR(SEARCH("SANO",C40)))</formula>
    </cfRule>
    <cfRule type="containsText" dxfId="2878" priority="470" operator="containsText" text="ALTO">
      <formula>NOT(ISERROR(SEARCH("ALTO",C40)))</formula>
    </cfRule>
    <cfRule type="containsText" dxfId="2877" priority="471" operator="containsText" text="BAJO">
      <formula>NOT(ISERROR(SEARCH("BAJO",C40)))</formula>
    </cfRule>
    <cfRule type="containsText" dxfId="2876" priority="472" operator="containsText" text="FALTA">
      <formula>NOT(ISERROR(SEARCH("FALTA",C40)))</formula>
    </cfRule>
  </conditionalFormatting>
  <conditionalFormatting sqref="C40">
    <cfRule type="containsText" dxfId="2875" priority="467" operator="containsText" text="N/A">
      <formula>NOT(ISERROR(SEARCH("N/A",C40)))</formula>
    </cfRule>
  </conditionalFormatting>
  <conditionalFormatting sqref="C40">
    <cfRule type="containsText" dxfId="2874" priority="466" operator="containsText" text="MEDIO">
      <formula>NOT(ISERROR(SEARCH("MEDIO",C40)))</formula>
    </cfRule>
  </conditionalFormatting>
  <conditionalFormatting sqref="C40">
    <cfRule type="containsText" dxfId="2873" priority="473" operator="containsText" text="BAJO">
      <formula>NOT(ISERROR(SEARCH("BAJO",C40)))</formula>
    </cfRule>
    <cfRule type="containsText" dxfId="2872" priority="474" operator="containsText" text="MODERADO">
      <formula>NOT(ISERROR(SEARCH("MODERADO",C40)))</formula>
    </cfRule>
    <cfRule type="containsText" dxfId="2871" priority="475" operator="containsText" text="SANO">
      <formula>NOT(ISERROR(SEARCH("SANO",C40)))</formula>
    </cfRule>
    <cfRule type="containsText" dxfId="2870" priority="476" operator="containsText" text="ALTO">
      <formula>NOT(ISERROR(SEARCH("ALTO",C40)))</formula>
    </cfRule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869" priority="478" operator="containsText" text="ALTO">
      <formula>NOT(ISERROR(SEARCH("ALTO",C40)))</formula>
    </cfRule>
  </conditionalFormatting>
  <conditionalFormatting sqref="C57">
    <cfRule type="containsText" dxfId="2868" priority="455" operator="containsText" text="MODERADO">
      <formula>NOT(ISERROR(SEARCH("MODERADO",C57)))</formula>
    </cfRule>
    <cfRule type="containsText" dxfId="2867" priority="456" operator="containsText" text="SANO">
      <formula>NOT(ISERROR(SEARCH("SANO",C57)))</formula>
    </cfRule>
    <cfRule type="containsText" dxfId="2866" priority="457" operator="containsText" text="ALTO">
      <formula>NOT(ISERROR(SEARCH("ALTO",C57)))</formula>
    </cfRule>
    <cfRule type="containsText" dxfId="2865" priority="458" operator="containsText" text="BAJO">
      <formula>NOT(ISERROR(SEARCH("BAJO",C57)))</formula>
    </cfRule>
    <cfRule type="containsText" dxfId="2864" priority="459" operator="containsText" text="FALTA">
      <formula>NOT(ISERROR(SEARCH("FALTA",C57)))</formula>
    </cfRule>
  </conditionalFormatting>
  <conditionalFormatting sqref="C57">
    <cfRule type="containsText" dxfId="2863" priority="454" operator="containsText" text="N/A">
      <formula>NOT(ISERROR(SEARCH("N/A",C57)))</formula>
    </cfRule>
  </conditionalFormatting>
  <conditionalFormatting sqref="C57">
    <cfRule type="containsText" dxfId="2862" priority="453" operator="containsText" text="MEDIO">
      <formula>NOT(ISERROR(SEARCH("MEDIO",C57)))</formula>
    </cfRule>
  </conditionalFormatting>
  <conditionalFormatting sqref="C57">
    <cfRule type="containsText" dxfId="2861" priority="460" operator="containsText" text="BAJO">
      <formula>NOT(ISERROR(SEARCH("BAJO",C57)))</formula>
    </cfRule>
    <cfRule type="containsText" dxfId="2860" priority="461" operator="containsText" text="MODERADO">
      <formula>NOT(ISERROR(SEARCH("MODERADO",C57)))</formula>
    </cfRule>
    <cfRule type="containsText" dxfId="2859" priority="462" operator="containsText" text="SANO">
      <formula>NOT(ISERROR(SEARCH("SANO",C57)))</formula>
    </cfRule>
    <cfRule type="containsText" dxfId="2858" priority="463" operator="containsText" text="ALTO">
      <formula>NOT(ISERROR(SEARCH("ALTO",C57)))</formula>
    </cfRule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857" priority="465" operator="containsText" text="ALTO">
      <formula>NOT(ISERROR(SEARCH("ALTO",C57)))</formula>
    </cfRule>
  </conditionalFormatting>
  <conditionalFormatting sqref="C63">
    <cfRule type="containsText" dxfId="2856" priority="442" operator="containsText" text="MODERADO">
      <formula>NOT(ISERROR(SEARCH("MODERADO",C63)))</formula>
    </cfRule>
    <cfRule type="containsText" dxfId="2855" priority="443" operator="containsText" text="SANO">
      <formula>NOT(ISERROR(SEARCH("SANO",C63)))</formula>
    </cfRule>
    <cfRule type="containsText" dxfId="2854" priority="444" operator="containsText" text="ALTO">
      <formula>NOT(ISERROR(SEARCH("ALTO",C63)))</formula>
    </cfRule>
    <cfRule type="containsText" dxfId="2853" priority="445" operator="containsText" text="BAJO">
      <formula>NOT(ISERROR(SEARCH("BAJO",C63)))</formula>
    </cfRule>
    <cfRule type="containsText" dxfId="2852" priority="446" operator="containsText" text="FALTA">
      <formula>NOT(ISERROR(SEARCH("FALTA",C63)))</formula>
    </cfRule>
  </conditionalFormatting>
  <conditionalFormatting sqref="C63">
    <cfRule type="containsText" dxfId="2851" priority="441" operator="containsText" text="N/A">
      <formula>NOT(ISERROR(SEARCH("N/A",C63)))</formula>
    </cfRule>
  </conditionalFormatting>
  <conditionalFormatting sqref="C63">
    <cfRule type="containsText" dxfId="2850" priority="440" operator="containsText" text="MEDIO">
      <formula>NOT(ISERROR(SEARCH("MEDIO",C63)))</formula>
    </cfRule>
  </conditionalFormatting>
  <conditionalFormatting sqref="C63">
    <cfRule type="containsText" dxfId="2849" priority="447" operator="containsText" text="BAJO">
      <formula>NOT(ISERROR(SEARCH("BAJO",C63)))</formula>
    </cfRule>
    <cfRule type="containsText" dxfId="2848" priority="448" operator="containsText" text="MODERADO">
      <formula>NOT(ISERROR(SEARCH("MODERADO",C63)))</formula>
    </cfRule>
    <cfRule type="containsText" dxfId="2847" priority="449" operator="containsText" text="SANO">
      <formula>NOT(ISERROR(SEARCH("SANO",C63)))</formula>
    </cfRule>
    <cfRule type="containsText" dxfId="2846" priority="450" operator="containsText" text="ALTO">
      <formula>NOT(ISERROR(SEARCH("ALTO",C63)))</formula>
    </cfRule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845" priority="452" operator="containsText" text="ALTO">
      <formula>NOT(ISERROR(SEARCH("ALTO",C63)))</formula>
    </cfRule>
  </conditionalFormatting>
  <conditionalFormatting sqref="C72">
    <cfRule type="containsText" dxfId="2844" priority="429" operator="containsText" text="MODERADO">
      <formula>NOT(ISERROR(SEARCH("MODERADO",C72)))</formula>
    </cfRule>
    <cfRule type="containsText" dxfId="2843" priority="430" operator="containsText" text="SANO">
      <formula>NOT(ISERROR(SEARCH("SANO",C72)))</formula>
    </cfRule>
    <cfRule type="containsText" dxfId="2842" priority="431" operator="containsText" text="ALTO">
      <formula>NOT(ISERROR(SEARCH("ALTO",C72)))</formula>
    </cfRule>
    <cfRule type="containsText" dxfId="2841" priority="432" operator="containsText" text="BAJO">
      <formula>NOT(ISERROR(SEARCH("BAJO",C72)))</formula>
    </cfRule>
    <cfRule type="containsText" dxfId="2840" priority="433" operator="containsText" text="FALTA">
      <formula>NOT(ISERROR(SEARCH("FALTA",C72)))</formula>
    </cfRule>
  </conditionalFormatting>
  <conditionalFormatting sqref="C72">
    <cfRule type="containsText" dxfId="2839" priority="428" operator="containsText" text="N/A">
      <formula>NOT(ISERROR(SEARCH("N/A",C72)))</formula>
    </cfRule>
  </conditionalFormatting>
  <conditionalFormatting sqref="C72">
    <cfRule type="containsText" dxfId="2838" priority="427" operator="containsText" text="MEDIO">
      <formula>NOT(ISERROR(SEARCH("MEDIO",C72)))</formula>
    </cfRule>
  </conditionalFormatting>
  <conditionalFormatting sqref="C72">
    <cfRule type="containsText" dxfId="2837" priority="434" operator="containsText" text="BAJO">
      <formula>NOT(ISERROR(SEARCH("BAJO",C72)))</formula>
    </cfRule>
    <cfRule type="containsText" dxfId="2836" priority="435" operator="containsText" text="MODERADO">
      <formula>NOT(ISERROR(SEARCH("MODERADO",C72)))</formula>
    </cfRule>
    <cfRule type="containsText" dxfId="2835" priority="436" operator="containsText" text="SANO">
      <formula>NOT(ISERROR(SEARCH("SANO",C72)))</formula>
    </cfRule>
    <cfRule type="containsText" dxfId="2834" priority="437" operator="containsText" text="ALTO">
      <formula>NOT(ISERROR(SEARCH("ALTO",C72)))</formula>
    </cfRule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833" priority="439" operator="containsText" text="ALTO">
      <formula>NOT(ISERROR(SEARCH("ALTO",C72)))</formula>
    </cfRule>
  </conditionalFormatting>
  <conditionalFormatting sqref="C73">
    <cfRule type="containsText" dxfId="2832" priority="416" operator="containsText" text="MODERADO">
      <formula>NOT(ISERROR(SEARCH("MODERADO",C73)))</formula>
    </cfRule>
    <cfRule type="containsText" dxfId="2831" priority="417" operator="containsText" text="SANO">
      <formula>NOT(ISERROR(SEARCH("SANO",C73)))</formula>
    </cfRule>
    <cfRule type="containsText" dxfId="2830" priority="418" operator="containsText" text="ALTO">
      <formula>NOT(ISERROR(SEARCH("ALTO",C73)))</formula>
    </cfRule>
    <cfRule type="containsText" dxfId="2829" priority="419" operator="containsText" text="BAJO">
      <formula>NOT(ISERROR(SEARCH("BAJO",C73)))</formula>
    </cfRule>
    <cfRule type="containsText" dxfId="2828" priority="420" operator="containsText" text="FALTA">
      <formula>NOT(ISERROR(SEARCH("FALTA",C73)))</formula>
    </cfRule>
  </conditionalFormatting>
  <conditionalFormatting sqref="C73">
    <cfRule type="containsText" dxfId="2827" priority="415" operator="containsText" text="N/A">
      <formula>NOT(ISERROR(SEARCH("N/A",C73)))</formula>
    </cfRule>
  </conditionalFormatting>
  <conditionalFormatting sqref="C73">
    <cfRule type="containsText" dxfId="2826" priority="414" operator="containsText" text="MEDIO">
      <formula>NOT(ISERROR(SEARCH("MEDIO",C73)))</formula>
    </cfRule>
  </conditionalFormatting>
  <conditionalFormatting sqref="C73">
    <cfRule type="containsText" dxfId="2825" priority="421" operator="containsText" text="BAJO">
      <formula>NOT(ISERROR(SEARCH("BAJO",C73)))</formula>
    </cfRule>
    <cfRule type="containsText" dxfId="2824" priority="422" operator="containsText" text="MODERADO">
      <formula>NOT(ISERROR(SEARCH("MODERADO",C73)))</formula>
    </cfRule>
    <cfRule type="containsText" dxfId="2823" priority="423" operator="containsText" text="SANO">
      <formula>NOT(ISERROR(SEARCH("SANO",C73)))</formula>
    </cfRule>
    <cfRule type="containsText" dxfId="2822" priority="424" operator="containsText" text="ALTO">
      <formula>NOT(ISERROR(SEARCH("ALTO",C73)))</formula>
    </cfRule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821" priority="426" operator="containsText" text="ALTO">
      <formula>NOT(ISERROR(SEARCH("ALTO",C73)))</formula>
    </cfRule>
  </conditionalFormatting>
  <conditionalFormatting sqref="C75:C78">
    <cfRule type="containsText" dxfId="2820" priority="403" operator="containsText" text="MODERADO">
      <formula>NOT(ISERROR(SEARCH("MODERADO",C75)))</formula>
    </cfRule>
    <cfRule type="containsText" dxfId="2819" priority="404" operator="containsText" text="SANO">
      <formula>NOT(ISERROR(SEARCH("SANO",C75)))</formula>
    </cfRule>
    <cfRule type="containsText" dxfId="2818" priority="405" operator="containsText" text="ALTO">
      <formula>NOT(ISERROR(SEARCH("ALTO",C75)))</formula>
    </cfRule>
    <cfRule type="containsText" dxfId="2817" priority="406" operator="containsText" text="BAJO">
      <formula>NOT(ISERROR(SEARCH("BAJO",C75)))</formula>
    </cfRule>
    <cfRule type="containsText" dxfId="2816" priority="407" operator="containsText" text="FALTA">
      <formula>NOT(ISERROR(SEARCH("FALTA",C75)))</formula>
    </cfRule>
  </conditionalFormatting>
  <conditionalFormatting sqref="C75:C78">
    <cfRule type="containsText" dxfId="2815" priority="402" operator="containsText" text="N/A">
      <formula>NOT(ISERROR(SEARCH("N/A",C75)))</formula>
    </cfRule>
  </conditionalFormatting>
  <conditionalFormatting sqref="C75:C78">
    <cfRule type="containsText" dxfId="2814" priority="401" operator="containsText" text="MEDIO">
      <formula>NOT(ISERROR(SEARCH("MEDIO",C75)))</formula>
    </cfRule>
  </conditionalFormatting>
  <conditionalFormatting sqref="C75:C78">
    <cfRule type="containsText" dxfId="2813" priority="408" operator="containsText" text="BAJO">
      <formula>NOT(ISERROR(SEARCH("BAJO",C75)))</formula>
    </cfRule>
    <cfRule type="containsText" dxfId="2812" priority="409" operator="containsText" text="MODERADO">
      <formula>NOT(ISERROR(SEARCH("MODERADO",C75)))</formula>
    </cfRule>
    <cfRule type="containsText" dxfId="2811" priority="410" operator="containsText" text="SANO">
      <formula>NOT(ISERROR(SEARCH("SANO",C75)))</formula>
    </cfRule>
    <cfRule type="containsText" dxfId="2810" priority="411" operator="containsText" text="ALTO">
      <formula>NOT(ISERROR(SEARCH("ALTO",C75)))</formula>
    </cfRule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809" priority="413" operator="containsText" text="ALTO">
      <formula>NOT(ISERROR(SEARCH("ALTO",C75)))</formula>
    </cfRule>
  </conditionalFormatting>
  <conditionalFormatting sqref="C79">
    <cfRule type="containsText" dxfId="2808" priority="390" operator="containsText" text="MODERADO">
      <formula>NOT(ISERROR(SEARCH("MODERADO",C79)))</formula>
    </cfRule>
    <cfRule type="containsText" dxfId="2807" priority="391" operator="containsText" text="SANO">
      <formula>NOT(ISERROR(SEARCH("SANO",C79)))</formula>
    </cfRule>
    <cfRule type="containsText" dxfId="2806" priority="392" operator="containsText" text="ALTO">
      <formula>NOT(ISERROR(SEARCH("ALTO",C79)))</formula>
    </cfRule>
    <cfRule type="containsText" dxfId="2805" priority="393" operator="containsText" text="BAJO">
      <formula>NOT(ISERROR(SEARCH("BAJO",C79)))</formula>
    </cfRule>
    <cfRule type="containsText" dxfId="2804" priority="394" operator="containsText" text="FALTA">
      <formula>NOT(ISERROR(SEARCH("FALTA",C79)))</formula>
    </cfRule>
  </conditionalFormatting>
  <conditionalFormatting sqref="C79">
    <cfRule type="containsText" dxfId="2803" priority="389" operator="containsText" text="N/A">
      <formula>NOT(ISERROR(SEARCH("N/A",C79)))</formula>
    </cfRule>
  </conditionalFormatting>
  <conditionalFormatting sqref="C79">
    <cfRule type="containsText" dxfId="2802" priority="388" operator="containsText" text="MEDIO">
      <formula>NOT(ISERROR(SEARCH("MEDIO",C79)))</formula>
    </cfRule>
  </conditionalFormatting>
  <conditionalFormatting sqref="C79">
    <cfRule type="containsText" dxfId="2801" priority="395" operator="containsText" text="BAJO">
      <formula>NOT(ISERROR(SEARCH("BAJO",C79)))</formula>
    </cfRule>
    <cfRule type="containsText" dxfId="2800" priority="396" operator="containsText" text="MODERADO">
      <formula>NOT(ISERROR(SEARCH("MODERADO",C79)))</formula>
    </cfRule>
    <cfRule type="containsText" dxfId="2799" priority="397" operator="containsText" text="SANO">
      <formula>NOT(ISERROR(SEARCH("SANO",C79)))</formula>
    </cfRule>
    <cfRule type="containsText" dxfId="2798" priority="398" operator="containsText" text="ALTO">
      <formula>NOT(ISERROR(SEARCH("ALTO",C79)))</formula>
    </cfRule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97" priority="400" operator="containsText" text="ALTO">
      <formula>NOT(ISERROR(SEARCH("ALTO",C79)))</formula>
    </cfRule>
  </conditionalFormatting>
  <conditionalFormatting sqref="C90:C94 C112 C74 C99:C101 C12:C13 C39 C41 C53:C56 C58:C62 C64:C71 C80:C87 C104:C108 C110 C25:C27">
    <cfRule type="containsText" dxfId="2796" priority="499" operator="containsText" text="BAJO">
      <formula>NOT(ISERROR(SEARCH("BAJO",C12)))</formula>
    </cfRule>
    <cfRule type="containsText" dxfId="2795" priority="500" operator="containsText" text="MODERADO">
      <formula>NOT(ISERROR(SEARCH("MODERADO",C12)))</formula>
    </cfRule>
    <cfRule type="containsText" dxfId="2794" priority="501" operator="containsText" text="SANO">
      <formula>NOT(ISERROR(SEARCH("SANO",C12)))</formula>
    </cfRule>
    <cfRule type="containsText" dxfId="2793" priority="502" operator="containsText" text="ALTO">
      <formula>NOT(ISERROR(SEARCH("ALTO",C12)))</formula>
    </cfRule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92" priority="504" operator="containsText" text="ALTO">
      <formula>NOT(ISERROR(SEARCH("ALTO",C12)))</formula>
    </cfRule>
  </conditionalFormatting>
  <conditionalFormatting sqref="C102:C108 C88:C89">
    <cfRule type="containsText" dxfId="2791" priority="505" operator="containsText" text="BAJO">
      <formula>NOT(ISERROR(SEARCH("BAJO",C88)))</formula>
    </cfRule>
    <cfRule type="containsText" dxfId="2790" priority="506" operator="containsText" text="MODERADO">
      <formula>NOT(ISERROR(SEARCH("MODERADO",C88)))</formula>
    </cfRule>
    <cfRule type="containsText" dxfId="2789" priority="507" operator="containsText" text="SANO">
      <formula>NOT(ISERROR(SEARCH("SANO",C88)))</formula>
    </cfRule>
    <cfRule type="containsText" dxfId="2788" priority="508" operator="containsText" text="ALTO">
      <formula>NOT(ISERROR(SEARCH("ALTO",C88)))</formula>
    </cfRule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87" priority="510" operator="containsText" text="ALTO">
      <formula>NOT(ISERROR(SEARCH("ALTO",C88)))</formula>
    </cfRule>
  </conditionalFormatting>
  <conditionalFormatting sqref="C109:C116">
    <cfRule type="containsText" dxfId="2786" priority="511" operator="containsText" text="BAJO">
      <formula>NOT(ISERROR(SEARCH("BAJO",C109)))</formula>
    </cfRule>
    <cfRule type="containsText" dxfId="2785" priority="512" operator="containsText" text="MODERADO">
      <formula>NOT(ISERROR(SEARCH("MODERADO",C109)))</formula>
    </cfRule>
    <cfRule type="containsText" dxfId="2784" priority="513" operator="containsText" text="SANO">
      <formula>NOT(ISERROR(SEARCH("SANO",C109)))</formula>
    </cfRule>
    <cfRule type="containsText" dxfId="2783" priority="514" operator="containsText" text="ALTO">
      <formula>NOT(ISERROR(SEARCH("ALTO",C109)))</formula>
    </cfRule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82" priority="516" operator="containsText" text="ALTO">
      <formula>NOT(ISERROR(SEARCH("ALTO",C109)))</formula>
    </cfRule>
  </conditionalFormatting>
  <conditionalFormatting sqref="D111:E112">
    <cfRule type="containsText" dxfId="2781" priority="377" operator="containsText" text="MODERADO">
      <formula>NOT(ISERROR(SEARCH("MODERADO",D111)))</formula>
    </cfRule>
    <cfRule type="containsText" dxfId="2780" priority="378" operator="containsText" text="SANO">
      <formula>NOT(ISERROR(SEARCH("SANO",D111)))</formula>
    </cfRule>
    <cfRule type="containsText" dxfId="2779" priority="379" operator="containsText" text="ALTO">
      <formula>NOT(ISERROR(SEARCH("ALTO",D111)))</formula>
    </cfRule>
    <cfRule type="containsText" dxfId="2778" priority="380" operator="containsText" text="BAJO">
      <formula>NOT(ISERROR(SEARCH("BAJO",D111)))</formula>
    </cfRule>
    <cfRule type="containsText" dxfId="2777" priority="381" operator="containsText" text="FALTA">
      <formula>NOT(ISERROR(SEARCH("FALTA",D111)))</formula>
    </cfRule>
  </conditionalFormatting>
  <conditionalFormatting sqref="D111:E112">
    <cfRule type="containsText" dxfId="2776" priority="376" operator="containsText" text="N/A">
      <formula>NOT(ISERROR(SEARCH("N/A",D111)))</formula>
    </cfRule>
  </conditionalFormatting>
  <conditionalFormatting sqref="D63:E63 D70:E82 D84:E94 D97:E97 D99:E100 D111:E112 E2:E9">
    <cfRule type="containsText" dxfId="2775" priority="375" operator="containsText" text="MEDIO">
      <formula>NOT(ISERROR(SEARCH("MEDIO",D2)))</formula>
    </cfRule>
  </conditionalFormatting>
  <conditionalFormatting sqref="D84:E94 D97:E97 D63:E63 D99:E100 D70:E82 D112:E112 D39:E41 D12:E14 E2:E11">
    <cfRule type="containsText" dxfId="2774" priority="372" operator="containsText" text="SANO">
      <formula>NOT(ISERROR(SEARCH("SANO",D2)))</formula>
    </cfRule>
    <cfRule type="containsText" dxfId="2773" priority="373" operator="containsText" text="ALTO">
      <formula>NOT(ISERROR(SEARCH("ALTO",D2)))</formula>
    </cfRule>
    <cfRule type="containsText" dxfId="2772" priority="374" operator="containsText" text="FALTA">
      <formula>NOT(ISERROR(SEARCH("FALTA",D2)))</formula>
    </cfRule>
  </conditionalFormatting>
  <conditionalFormatting sqref="D39:E39 E3:E9">
    <cfRule type="containsText" dxfId="2771" priority="367" operator="containsText" text="MODERADO">
      <formula>NOT(ISERROR(SEARCH("MODERADO",D3)))</formula>
    </cfRule>
    <cfRule type="containsText" dxfId="2770" priority="368" operator="containsText" text="SANO">
      <formula>NOT(ISERROR(SEARCH("SANO",D3)))</formula>
    </cfRule>
    <cfRule type="containsText" dxfId="2769" priority="369" operator="containsText" text="ALTO">
      <formula>NOT(ISERROR(SEARCH("ALTO",D3)))</formula>
    </cfRule>
    <cfRule type="containsText" dxfId="2768" priority="370" operator="containsText" text="BAJO">
      <formula>NOT(ISERROR(SEARCH("BAJO",D3)))</formula>
    </cfRule>
    <cfRule type="containsText" dxfId="2767" priority="371" operator="containsText" text="FALTA">
      <formula>NOT(ISERROR(SEARCH("FALTA",D3)))</formula>
    </cfRule>
  </conditionalFormatting>
  <conditionalFormatting sqref="D39:E39 E3:E9">
    <cfRule type="containsText" dxfId="2766" priority="366" operator="containsText" text="N/A">
      <formula>NOT(ISERROR(SEARCH("N/A",D3)))</formula>
    </cfRule>
  </conditionalFormatting>
  <conditionalFormatting sqref="D69:E84 D61:E63 D55:E58">
    <cfRule type="containsText" dxfId="2765" priority="355" operator="containsText" text="MODERADO">
      <formula>NOT(ISERROR(SEARCH("MODERADO",D55)))</formula>
    </cfRule>
    <cfRule type="containsText" dxfId="2764" priority="356" operator="containsText" text="SANO">
      <formula>NOT(ISERROR(SEARCH("SANO",D55)))</formula>
    </cfRule>
    <cfRule type="containsText" dxfId="2763" priority="357" operator="containsText" text="ALTO">
      <formula>NOT(ISERROR(SEARCH("ALTO",D55)))</formula>
    </cfRule>
    <cfRule type="containsText" dxfId="2762" priority="358" operator="containsText" text="BAJO">
      <formula>NOT(ISERROR(SEARCH("BAJO",D55)))</formula>
    </cfRule>
    <cfRule type="containsText" dxfId="2761" priority="359" operator="containsText" text="FALTA">
      <formula>NOT(ISERROR(SEARCH("FALTA",D55)))</formula>
    </cfRule>
  </conditionalFormatting>
  <conditionalFormatting sqref="D69:E84 D61:E63 D55:E58">
    <cfRule type="containsText" dxfId="2760" priority="354" operator="containsText" text="N/A">
      <formula>NOT(ISERROR(SEARCH("N/A",D55)))</formula>
    </cfRule>
  </conditionalFormatting>
  <conditionalFormatting sqref="D73:E78 D80:E80 D61:E63 D69:E71 D55:E58 D40:E41">
    <cfRule type="containsText" dxfId="2759" priority="360" operator="containsText" text="BAJO">
      <formula>NOT(ISERROR(SEARCH("BAJO",D40)))</formula>
    </cfRule>
    <cfRule type="containsText" dxfId="2758" priority="361" operator="containsText" text="MODERADO">
      <formula>NOT(ISERROR(SEARCH("MODERADO",D40)))</formula>
    </cfRule>
    <cfRule type="containsText" dxfId="2757" priority="362" operator="containsText" text="SANO">
      <formula>NOT(ISERROR(SEARCH("SANO",D40)))</formula>
    </cfRule>
    <cfRule type="containsText" dxfId="2756" priority="363" operator="containsText" text="ALTO">
      <formula>NOT(ISERROR(SEARCH("ALTO",D40)))</formula>
    </cfRule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55" priority="365" operator="containsText" text="ALTO">
      <formula>NOT(ISERROR(SEARCH("ALTO",D40)))</formula>
    </cfRule>
  </conditionalFormatting>
  <conditionalFormatting sqref="D53:E53">
    <cfRule type="containsText" dxfId="2754" priority="317" operator="containsText" text="MODERADO">
      <formula>NOT(ISERROR(SEARCH("MODERADO",D53)))</formula>
    </cfRule>
    <cfRule type="containsText" dxfId="2753" priority="318" operator="containsText" text="SANO">
      <formula>NOT(ISERROR(SEARCH("SANO",D53)))</formula>
    </cfRule>
    <cfRule type="containsText" dxfId="2752" priority="319" operator="containsText" text="ALTO">
      <formula>NOT(ISERROR(SEARCH("ALTO",D53)))</formula>
    </cfRule>
    <cfRule type="containsText" dxfId="2751" priority="320" operator="containsText" text="BAJO">
      <formula>NOT(ISERROR(SEARCH("BAJO",D53)))</formula>
    </cfRule>
    <cfRule type="containsText" dxfId="2750" priority="321" operator="containsText" text="FALTA">
      <formula>NOT(ISERROR(SEARCH("FALTA",D53)))</formula>
    </cfRule>
  </conditionalFormatting>
  <conditionalFormatting sqref="D53:E53">
    <cfRule type="containsText" dxfId="2749" priority="316" operator="containsText" text="N/A">
      <formula>NOT(ISERROR(SEARCH("N/A",D53)))</formula>
    </cfRule>
  </conditionalFormatting>
  <conditionalFormatting sqref="D53:E53">
    <cfRule type="containsText" dxfId="2748" priority="315" operator="containsText" text="MEDIO">
      <formula>NOT(ISERROR(SEARCH("MEDIO",D53)))</formula>
    </cfRule>
  </conditionalFormatting>
  <conditionalFormatting sqref="D53:E53">
    <cfRule type="containsText" dxfId="2747" priority="322" operator="containsText" text="BAJO">
      <formula>NOT(ISERROR(SEARCH("BAJO",D53)))</formula>
    </cfRule>
    <cfRule type="containsText" dxfId="2746" priority="323" operator="containsText" text="MODERADO">
      <formula>NOT(ISERROR(SEARCH("MODERADO",D53)))</formula>
    </cfRule>
    <cfRule type="containsText" dxfId="2745" priority="324" operator="containsText" text="SANO">
      <formula>NOT(ISERROR(SEARCH("SANO",D53)))</formula>
    </cfRule>
    <cfRule type="containsText" dxfId="2744" priority="325" operator="containsText" text="ALTO">
      <formula>NOT(ISERROR(SEARCH("ALTO",D53)))</formula>
    </cfRule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43" priority="327" operator="containsText" text="ALTO">
      <formula>NOT(ISERROR(SEARCH("ALTO",D53)))</formula>
    </cfRule>
  </conditionalFormatting>
  <conditionalFormatting sqref="D54:E54">
    <cfRule type="containsText" dxfId="2742" priority="304" operator="containsText" text="MODERADO">
      <formula>NOT(ISERROR(SEARCH("MODERADO",D54)))</formula>
    </cfRule>
    <cfRule type="containsText" dxfId="2741" priority="305" operator="containsText" text="SANO">
      <formula>NOT(ISERROR(SEARCH("SANO",D54)))</formula>
    </cfRule>
    <cfRule type="containsText" dxfId="2740" priority="306" operator="containsText" text="ALTO">
      <formula>NOT(ISERROR(SEARCH("ALTO",D54)))</formula>
    </cfRule>
    <cfRule type="containsText" dxfId="2739" priority="307" operator="containsText" text="BAJO">
      <formula>NOT(ISERROR(SEARCH("BAJO",D54)))</formula>
    </cfRule>
    <cfRule type="containsText" dxfId="2738" priority="308" operator="containsText" text="FALTA">
      <formula>NOT(ISERROR(SEARCH("FALTA",D54)))</formula>
    </cfRule>
  </conditionalFormatting>
  <conditionalFormatting sqref="D54:E54">
    <cfRule type="containsText" dxfId="2737" priority="303" operator="containsText" text="N/A">
      <formula>NOT(ISERROR(SEARCH("N/A",D54)))</formula>
    </cfRule>
  </conditionalFormatting>
  <conditionalFormatting sqref="D54:E54">
    <cfRule type="containsText" dxfId="2736" priority="302" operator="containsText" text="MEDIO">
      <formula>NOT(ISERROR(SEARCH("MEDIO",D54)))</formula>
    </cfRule>
  </conditionalFormatting>
  <conditionalFormatting sqref="D54:E54">
    <cfRule type="containsText" dxfId="2735" priority="309" operator="containsText" text="BAJO">
      <formula>NOT(ISERROR(SEARCH("BAJO",D54)))</formula>
    </cfRule>
    <cfRule type="containsText" dxfId="2734" priority="310" operator="containsText" text="MODERADO">
      <formula>NOT(ISERROR(SEARCH("MODERADO",D54)))</formula>
    </cfRule>
    <cfRule type="containsText" dxfId="2733" priority="311" operator="containsText" text="SANO">
      <formula>NOT(ISERROR(SEARCH("SANO",D54)))</formula>
    </cfRule>
    <cfRule type="containsText" dxfId="2732" priority="312" operator="containsText" text="ALTO">
      <formula>NOT(ISERROR(SEARCH("ALTO",D54)))</formula>
    </cfRule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31" priority="314" operator="containsText" text="ALTO">
      <formula>NOT(ISERROR(SEARCH("ALTO",D54)))</formula>
    </cfRule>
  </conditionalFormatting>
  <conditionalFormatting sqref="D83:E83 D69:E69 D61:E62 D55:E58">
    <cfRule type="containsText" dxfId="2730" priority="301" operator="containsText" text="MEDIO">
      <formula>NOT(ISERROR(SEARCH("MEDIO",D55)))</formula>
    </cfRule>
  </conditionalFormatting>
  <conditionalFormatting sqref="D59:E59">
    <cfRule type="containsText" dxfId="2729" priority="290" operator="containsText" text="MODERADO">
      <formula>NOT(ISERROR(SEARCH("MODERADO",D59)))</formula>
    </cfRule>
    <cfRule type="containsText" dxfId="2728" priority="291" operator="containsText" text="SANO">
      <formula>NOT(ISERROR(SEARCH("SANO",D59)))</formula>
    </cfRule>
    <cfRule type="containsText" dxfId="2727" priority="292" operator="containsText" text="ALTO">
      <formula>NOT(ISERROR(SEARCH("ALTO",D59)))</formula>
    </cfRule>
    <cfRule type="containsText" dxfId="2726" priority="293" operator="containsText" text="BAJO">
      <formula>NOT(ISERROR(SEARCH("BAJO",D59)))</formula>
    </cfRule>
    <cfRule type="containsText" dxfId="2725" priority="294" operator="containsText" text="FALTA">
      <formula>NOT(ISERROR(SEARCH("FALTA",D59)))</formula>
    </cfRule>
  </conditionalFormatting>
  <conditionalFormatting sqref="D59:E59">
    <cfRule type="containsText" dxfId="2724" priority="289" operator="containsText" text="N/A">
      <formula>NOT(ISERROR(SEARCH("N/A",D59)))</formula>
    </cfRule>
  </conditionalFormatting>
  <conditionalFormatting sqref="D59:E59">
    <cfRule type="containsText" dxfId="2723" priority="288" operator="containsText" text="MEDIO">
      <formula>NOT(ISERROR(SEARCH("MEDIO",D59)))</formula>
    </cfRule>
  </conditionalFormatting>
  <conditionalFormatting sqref="D59:E59">
    <cfRule type="containsText" dxfId="2722" priority="295" operator="containsText" text="BAJO">
      <formula>NOT(ISERROR(SEARCH("BAJO",D59)))</formula>
    </cfRule>
    <cfRule type="containsText" dxfId="2721" priority="296" operator="containsText" text="MODERADO">
      <formula>NOT(ISERROR(SEARCH("MODERADO",D59)))</formula>
    </cfRule>
    <cfRule type="containsText" dxfId="2720" priority="297" operator="containsText" text="SANO">
      <formula>NOT(ISERROR(SEARCH("SANO",D59)))</formula>
    </cfRule>
    <cfRule type="containsText" dxfId="2719" priority="298" operator="containsText" text="ALTO">
      <formula>NOT(ISERROR(SEARCH("ALTO",D59)))</formula>
    </cfRule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18" priority="300" operator="containsText" text="ALTO">
      <formula>NOT(ISERROR(SEARCH("ALTO",D59)))</formula>
    </cfRule>
  </conditionalFormatting>
  <conditionalFormatting sqref="D60:E60">
    <cfRule type="containsText" dxfId="2717" priority="277" operator="containsText" text="MODERADO">
      <formula>NOT(ISERROR(SEARCH("MODERADO",D60)))</formula>
    </cfRule>
    <cfRule type="containsText" dxfId="2716" priority="278" operator="containsText" text="SANO">
      <formula>NOT(ISERROR(SEARCH("SANO",D60)))</formula>
    </cfRule>
    <cfRule type="containsText" dxfId="2715" priority="279" operator="containsText" text="ALTO">
      <formula>NOT(ISERROR(SEARCH("ALTO",D60)))</formula>
    </cfRule>
    <cfRule type="containsText" dxfId="2714" priority="280" operator="containsText" text="BAJO">
      <formula>NOT(ISERROR(SEARCH("BAJO",D60)))</formula>
    </cfRule>
    <cfRule type="containsText" dxfId="2713" priority="281" operator="containsText" text="FALTA">
      <formula>NOT(ISERROR(SEARCH("FALTA",D60)))</formula>
    </cfRule>
  </conditionalFormatting>
  <conditionalFormatting sqref="D60:E60">
    <cfRule type="containsText" dxfId="2712" priority="276" operator="containsText" text="N/A">
      <formula>NOT(ISERROR(SEARCH("N/A",D60)))</formula>
    </cfRule>
  </conditionalFormatting>
  <conditionalFormatting sqref="D60:E60">
    <cfRule type="containsText" dxfId="2711" priority="275" operator="containsText" text="MEDIO">
      <formula>NOT(ISERROR(SEARCH("MEDIO",D60)))</formula>
    </cfRule>
  </conditionalFormatting>
  <conditionalFormatting sqref="D60:E60">
    <cfRule type="containsText" dxfId="2710" priority="282" operator="containsText" text="BAJO">
      <formula>NOT(ISERROR(SEARCH("BAJO",D60)))</formula>
    </cfRule>
    <cfRule type="containsText" dxfId="2709" priority="283" operator="containsText" text="MODERADO">
      <formula>NOT(ISERROR(SEARCH("MODERADO",D60)))</formula>
    </cfRule>
    <cfRule type="containsText" dxfId="2708" priority="284" operator="containsText" text="SANO">
      <formula>NOT(ISERROR(SEARCH("SANO",D60)))</formula>
    </cfRule>
    <cfRule type="containsText" dxfId="2707" priority="285" operator="containsText" text="ALTO">
      <formula>NOT(ISERROR(SEARCH("ALTO",D60)))</formula>
    </cfRule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706" priority="287" operator="containsText" text="ALTO">
      <formula>NOT(ISERROR(SEARCH("ALTO",D60)))</formula>
    </cfRule>
  </conditionalFormatting>
  <conditionalFormatting sqref="D64:E64">
    <cfRule type="containsText" dxfId="2705" priority="264" operator="containsText" text="MODERADO">
      <formula>NOT(ISERROR(SEARCH("MODERADO",D64)))</formula>
    </cfRule>
    <cfRule type="containsText" dxfId="2704" priority="265" operator="containsText" text="SANO">
      <formula>NOT(ISERROR(SEARCH("SANO",D64)))</formula>
    </cfRule>
    <cfRule type="containsText" dxfId="2703" priority="266" operator="containsText" text="ALTO">
      <formula>NOT(ISERROR(SEARCH("ALTO",D64)))</formula>
    </cfRule>
    <cfRule type="containsText" dxfId="2702" priority="267" operator="containsText" text="BAJO">
      <formula>NOT(ISERROR(SEARCH("BAJO",D64)))</formula>
    </cfRule>
    <cfRule type="containsText" dxfId="2701" priority="268" operator="containsText" text="FALTA">
      <formula>NOT(ISERROR(SEARCH("FALTA",D64)))</formula>
    </cfRule>
  </conditionalFormatting>
  <conditionalFormatting sqref="D64:E64">
    <cfRule type="containsText" dxfId="2700" priority="263" operator="containsText" text="N/A">
      <formula>NOT(ISERROR(SEARCH("N/A",D64)))</formula>
    </cfRule>
  </conditionalFormatting>
  <conditionalFormatting sqref="D64:E64">
    <cfRule type="containsText" dxfId="2699" priority="262" operator="containsText" text="MEDIO">
      <formula>NOT(ISERROR(SEARCH("MEDIO",D64)))</formula>
    </cfRule>
  </conditionalFormatting>
  <conditionalFormatting sqref="D64:E64">
    <cfRule type="containsText" dxfId="2698" priority="269" operator="containsText" text="BAJO">
      <formula>NOT(ISERROR(SEARCH("BAJO",D64)))</formula>
    </cfRule>
    <cfRule type="containsText" dxfId="2697" priority="270" operator="containsText" text="MODERADO">
      <formula>NOT(ISERROR(SEARCH("MODERADO",D64)))</formula>
    </cfRule>
    <cfRule type="containsText" dxfId="2696" priority="271" operator="containsText" text="SANO">
      <formula>NOT(ISERROR(SEARCH("SANO",D64)))</formula>
    </cfRule>
    <cfRule type="containsText" dxfId="2695" priority="272" operator="containsText" text="ALTO">
      <formula>NOT(ISERROR(SEARCH("ALTO",D64)))</formula>
    </cfRule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94" priority="274" operator="containsText" text="ALTO">
      <formula>NOT(ISERROR(SEARCH("ALTO",D64)))</formula>
    </cfRule>
  </conditionalFormatting>
  <conditionalFormatting sqref="D65:E67">
    <cfRule type="containsText" dxfId="2693" priority="251" operator="containsText" text="MODERADO">
      <formula>NOT(ISERROR(SEARCH("MODERADO",D65)))</formula>
    </cfRule>
    <cfRule type="containsText" dxfId="2692" priority="252" operator="containsText" text="SANO">
      <formula>NOT(ISERROR(SEARCH("SANO",D65)))</formula>
    </cfRule>
    <cfRule type="containsText" dxfId="2691" priority="253" operator="containsText" text="ALTO">
      <formula>NOT(ISERROR(SEARCH("ALTO",D65)))</formula>
    </cfRule>
    <cfRule type="containsText" dxfId="2690" priority="254" operator="containsText" text="BAJO">
      <formula>NOT(ISERROR(SEARCH("BAJO",D65)))</formula>
    </cfRule>
    <cfRule type="containsText" dxfId="2689" priority="255" operator="containsText" text="FALTA">
      <formula>NOT(ISERROR(SEARCH("FALTA",D65)))</formula>
    </cfRule>
  </conditionalFormatting>
  <conditionalFormatting sqref="D65:E67">
    <cfRule type="containsText" dxfId="2688" priority="250" operator="containsText" text="N/A">
      <formula>NOT(ISERROR(SEARCH("N/A",D65)))</formula>
    </cfRule>
  </conditionalFormatting>
  <conditionalFormatting sqref="D65:E67">
    <cfRule type="containsText" dxfId="2687" priority="249" operator="containsText" text="MEDIO">
      <formula>NOT(ISERROR(SEARCH("MEDIO",D65)))</formula>
    </cfRule>
  </conditionalFormatting>
  <conditionalFormatting sqref="D65:E67">
    <cfRule type="containsText" dxfId="2686" priority="256" operator="containsText" text="BAJO">
      <formula>NOT(ISERROR(SEARCH("BAJO",D65)))</formula>
    </cfRule>
    <cfRule type="containsText" dxfId="2685" priority="257" operator="containsText" text="MODERADO">
      <formula>NOT(ISERROR(SEARCH("MODERADO",D65)))</formula>
    </cfRule>
    <cfRule type="containsText" dxfId="2684" priority="258" operator="containsText" text="SANO">
      <formula>NOT(ISERROR(SEARCH("SANO",D65)))</formula>
    </cfRule>
    <cfRule type="containsText" dxfId="2683" priority="259" operator="containsText" text="ALTO">
      <formula>NOT(ISERROR(SEARCH("ALTO",D65)))</formula>
    </cfRule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82" priority="261" operator="containsText" text="ALTO">
      <formula>NOT(ISERROR(SEARCH("ALTO",D65)))</formula>
    </cfRule>
  </conditionalFormatting>
  <conditionalFormatting sqref="D68:E68">
    <cfRule type="containsText" dxfId="2681" priority="238" operator="containsText" text="MODERADO">
      <formula>NOT(ISERROR(SEARCH("MODERADO",D68)))</formula>
    </cfRule>
    <cfRule type="containsText" dxfId="2680" priority="239" operator="containsText" text="SANO">
      <formula>NOT(ISERROR(SEARCH("SANO",D68)))</formula>
    </cfRule>
    <cfRule type="containsText" dxfId="2679" priority="240" operator="containsText" text="ALTO">
      <formula>NOT(ISERROR(SEARCH("ALTO",D68)))</formula>
    </cfRule>
    <cfRule type="containsText" dxfId="2678" priority="241" operator="containsText" text="BAJO">
      <formula>NOT(ISERROR(SEARCH("BAJO",D68)))</formula>
    </cfRule>
    <cfRule type="containsText" dxfId="2677" priority="242" operator="containsText" text="FALTA">
      <formula>NOT(ISERROR(SEARCH("FALTA",D68)))</formula>
    </cfRule>
  </conditionalFormatting>
  <conditionalFormatting sqref="D68:E68">
    <cfRule type="containsText" dxfId="2676" priority="237" operator="containsText" text="N/A">
      <formula>NOT(ISERROR(SEARCH("N/A",D68)))</formula>
    </cfRule>
  </conditionalFormatting>
  <conditionalFormatting sqref="D68:E68">
    <cfRule type="containsText" dxfId="2675" priority="236" operator="containsText" text="MEDIO">
      <formula>NOT(ISERROR(SEARCH("MEDIO",D68)))</formula>
    </cfRule>
  </conditionalFormatting>
  <conditionalFormatting sqref="D68:E68">
    <cfRule type="containsText" dxfId="2674" priority="243" operator="containsText" text="BAJO">
      <formula>NOT(ISERROR(SEARCH("BAJO",D68)))</formula>
    </cfRule>
    <cfRule type="containsText" dxfId="2673" priority="244" operator="containsText" text="MODERADO">
      <formula>NOT(ISERROR(SEARCH("MODERADO",D68)))</formula>
    </cfRule>
    <cfRule type="containsText" dxfId="2672" priority="245" operator="containsText" text="SANO">
      <formula>NOT(ISERROR(SEARCH("SANO",D68)))</formula>
    </cfRule>
    <cfRule type="containsText" dxfId="2671" priority="246" operator="containsText" text="ALTO">
      <formula>NOT(ISERROR(SEARCH("ALTO",D68)))</formula>
    </cfRule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70" priority="248" operator="containsText" text="ALTO">
      <formula>NOT(ISERROR(SEARCH("ALTO",D68)))</formula>
    </cfRule>
  </conditionalFormatting>
  <conditionalFormatting sqref="D79:E80 D72:E72">
    <cfRule type="containsText" dxfId="2669" priority="230" operator="containsText" text="BAJO">
      <formula>NOT(ISERROR(SEARCH("BAJO",D72)))</formula>
    </cfRule>
    <cfRule type="containsText" dxfId="2668" priority="231" operator="containsText" text="MODERADO">
      <formula>NOT(ISERROR(SEARCH("MODERADO",D72)))</formula>
    </cfRule>
    <cfRule type="containsText" dxfId="2667" priority="232" operator="containsText" text="SANO">
      <formula>NOT(ISERROR(SEARCH("SANO",D72)))</formula>
    </cfRule>
    <cfRule type="containsText" dxfId="2666" priority="233" operator="containsText" text="ALTO">
      <formula>NOT(ISERROR(SEARCH("ALTO",D72)))</formula>
    </cfRule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65" priority="235" operator="containsText" text="ALTO">
      <formula>NOT(ISERROR(SEARCH("ALTO",D72)))</formula>
    </cfRule>
  </conditionalFormatting>
  <conditionalFormatting sqref="D81:E84">
    <cfRule type="containsText" dxfId="2664" priority="224" operator="containsText" text="BAJO">
      <formula>NOT(ISERROR(SEARCH("BAJO",D81)))</formula>
    </cfRule>
    <cfRule type="containsText" dxfId="2663" priority="225" operator="containsText" text="MODERADO">
      <formula>NOT(ISERROR(SEARCH("MODERADO",D81)))</formula>
    </cfRule>
    <cfRule type="containsText" dxfId="2662" priority="226" operator="containsText" text="SANO">
      <formula>NOT(ISERROR(SEARCH("SANO",D81)))</formula>
    </cfRule>
    <cfRule type="containsText" dxfId="2661" priority="227" operator="containsText" text="ALTO">
      <formula>NOT(ISERROR(SEARCH("ALTO",D81)))</formula>
    </cfRule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60" priority="229" operator="containsText" text="ALTO">
      <formula>NOT(ISERROR(SEARCH("ALTO",D81)))</formula>
    </cfRule>
  </conditionalFormatting>
  <conditionalFormatting sqref="D105:E108 D85:E100">
    <cfRule type="containsText" dxfId="2659" priority="219" operator="containsText" text="MODERADO">
      <formula>NOT(ISERROR(SEARCH("MODERADO",D85)))</formula>
    </cfRule>
    <cfRule type="containsText" dxfId="2658" priority="220" operator="containsText" text="SANO">
      <formula>NOT(ISERROR(SEARCH("SANO",D85)))</formula>
    </cfRule>
    <cfRule type="containsText" dxfId="2657" priority="221" operator="containsText" text="ALTO">
      <formula>NOT(ISERROR(SEARCH("ALTO",D85)))</formula>
    </cfRule>
    <cfRule type="containsText" dxfId="2656" priority="222" operator="containsText" text="BAJO">
      <formula>NOT(ISERROR(SEARCH("BAJO",D85)))</formula>
    </cfRule>
    <cfRule type="containsText" dxfId="2655" priority="223" operator="containsText" text="FALTA">
      <formula>NOT(ISERROR(SEARCH("FALTA",D85)))</formula>
    </cfRule>
  </conditionalFormatting>
  <conditionalFormatting sqref="D105:E108 D85:E100">
    <cfRule type="containsText" dxfId="2654" priority="218" operator="containsText" text="N/A">
      <formula>NOT(ISERROR(SEARCH("N/A",D85)))</formula>
    </cfRule>
  </conditionalFormatting>
  <conditionalFormatting sqref="D105:E108 D98:E98 D95:E96">
    <cfRule type="containsText" dxfId="2653" priority="217" operator="containsText" text="MEDIO">
      <formula>NOT(ISERROR(SEARCH("MEDIO",D95)))</formula>
    </cfRule>
  </conditionalFormatting>
  <conditionalFormatting sqref="D101:E101">
    <cfRule type="containsText" dxfId="2652" priority="206" operator="containsText" text="MODERADO">
      <formula>NOT(ISERROR(SEARCH("MODERADO",D101)))</formula>
    </cfRule>
    <cfRule type="containsText" dxfId="2651" priority="207" operator="containsText" text="SANO">
      <formula>NOT(ISERROR(SEARCH("SANO",D101)))</formula>
    </cfRule>
    <cfRule type="containsText" dxfId="2650" priority="208" operator="containsText" text="ALTO">
      <formula>NOT(ISERROR(SEARCH("ALTO",D101)))</formula>
    </cfRule>
    <cfRule type="containsText" dxfId="2649" priority="209" operator="containsText" text="BAJO">
      <formula>NOT(ISERROR(SEARCH("BAJO",D101)))</formula>
    </cfRule>
    <cfRule type="containsText" dxfId="2648" priority="210" operator="containsText" text="FALTA">
      <formula>NOT(ISERROR(SEARCH("FALTA",D101)))</formula>
    </cfRule>
  </conditionalFormatting>
  <conditionalFormatting sqref="D101:E101">
    <cfRule type="containsText" dxfId="2647" priority="205" operator="containsText" text="N/A">
      <formula>NOT(ISERROR(SEARCH("N/A",D101)))</formula>
    </cfRule>
  </conditionalFormatting>
  <conditionalFormatting sqref="D101:E101">
    <cfRule type="containsText" dxfId="2646" priority="204" operator="containsText" text="MEDIO">
      <formula>NOT(ISERROR(SEARCH("MEDIO",D101)))</formula>
    </cfRule>
  </conditionalFormatting>
  <conditionalFormatting sqref="D101:E101">
    <cfRule type="containsText" dxfId="2645" priority="211" operator="containsText" text="BAJO">
      <formula>NOT(ISERROR(SEARCH("BAJO",D101)))</formula>
    </cfRule>
    <cfRule type="containsText" dxfId="2644" priority="212" operator="containsText" text="MODERADO">
      <formula>NOT(ISERROR(SEARCH("MODERADO",D101)))</formula>
    </cfRule>
    <cfRule type="containsText" dxfId="2643" priority="213" operator="containsText" text="SANO">
      <formula>NOT(ISERROR(SEARCH("SANO",D101)))</formula>
    </cfRule>
    <cfRule type="containsText" dxfId="2642" priority="214" operator="containsText" text="ALTO">
      <formula>NOT(ISERROR(SEARCH("ALTO",D101)))</formula>
    </cfRule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41" priority="216" operator="containsText" text="ALTO">
      <formula>NOT(ISERROR(SEARCH("ALTO",D101)))</formula>
    </cfRule>
  </conditionalFormatting>
  <conditionalFormatting sqref="D102:E102">
    <cfRule type="containsText" dxfId="2640" priority="193" operator="containsText" text="MODERADO">
      <formula>NOT(ISERROR(SEARCH("MODERADO",D102)))</formula>
    </cfRule>
    <cfRule type="containsText" dxfId="2639" priority="194" operator="containsText" text="SANO">
      <formula>NOT(ISERROR(SEARCH("SANO",D102)))</formula>
    </cfRule>
    <cfRule type="containsText" dxfId="2638" priority="195" operator="containsText" text="ALTO">
      <formula>NOT(ISERROR(SEARCH("ALTO",D102)))</formula>
    </cfRule>
    <cfRule type="containsText" dxfId="2637" priority="196" operator="containsText" text="BAJO">
      <formula>NOT(ISERROR(SEARCH("BAJO",D102)))</formula>
    </cfRule>
    <cfRule type="containsText" dxfId="2636" priority="197" operator="containsText" text="FALTA">
      <formula>NOT(ISERROR(SEARCH("FALTA",D102)))</formula>
    </cfRule>
  </conditionalFormatting>
  <conditionalFormatting sqref="D102:E102">
    <cfRule type="containsText" dxfId="2635" priority="192" operator="containsText" text="N/A">
      <formula>NOT(ISERROR(SEARCH("N/A",D102)))</formula>
    </cfRule>
  </conditionalFormatting>
  <conditionalFormatting sqref="D102:E102">
    <cfRule type="containsText" dxfId="2634" priority="191" operator="containsText" text="MEDIO">
      <formula>NOT(ISERROR(SEARCH("MEDIO",D102)))</formula>
    </cfRule>
  </conditionalFormatting>
  <conditionalFormatting sqref="D102:E102">
    <cfRule type="containsText" dxfId="2633" priority="198" operator="containsText" text="BAJO">
      <formula>NOT(ISERROR(SEARCH("BAJO",D102)))</formula>
    </cfRule>
    <cfRule type="containsText" dxfId="2632" priority="199" operator="containsText" text="MODERADO">
      <formula>NOT(ISERROR(SEARCH("MODERADO",D102)))</formula>
    </cfRule>
    <cfRule type="containsText" dxfId="2631" priority="200" operator="containsText" text="SANO">
      <formula>NOT(ISERROR(SEARCH("SANO",D102)))</formula>
    </cfRule>
    <cfRule type="containsText" dxfId="2630" priority="201" operator="containsText" text="ALTO">
      <formula>NOT(ISERROR(SEARCH("ALTO",D102)))</formula>
    </cfRule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29" priority="203" operator="containsText" text="ALTO">
      <formula>NOT(ISERROR(SEARCH("ALTO",D102)))</formula>
    </cfRule>
  </conditionalFormatting>
  <conditionalFormatting sqref="D103:E103">
    <cfRule type="containsText" dxfId="2628" priority="180" operator="containsText" text="MODERADO">
      <formula>NOT(ISERROR(SEARCH("MODERADO",D103)))</formula>
    </cfRule>
    <cfRule type="containsText" dxfId="2627" priority="181" operator="containsText" text="SANO">
      <formula>NOT(ISERROR(SEARCH("SANO",D103)))</formula>
    </cfRule>
    <cfRule type="containsText" dxfId="2626" priority="182" operator="containsText" text="ALTO">
      <formula>NOT(ISERROR(SEARCH("ALTO",D103)))</formula>
    </cfRule>
    <cfRule type="containsText" dxfId="2625" priority="183" operator="containsText" text="BAJO">
      <formula>NOT(ISERROR(SEARCH("BAJO",D103)))</formula>
    </cfRule>
    <cfRule type="containsText" dxfId="2624" priority="184" operator="containsText" text="FALTA">
      <formula>NOT(ISERROR(SEARCH("FALTA",D103)))</formula>
    </cfRule>
  </conditionalFormatting>
  <conditionalFormatting sqref="D103:E103">
    <cfRule type="containsText" dxfId="2623" priority="179" operator="containsText" text="N/A">
      <formula>NOT(ISERROR(SEARCH("N/A",D103)))</formula>
    </cfRule>
  </conditionalFormatting>
  <conditionalFormatting sqref="D103:E103">
    <cfRule type="containsText" dxfId="2622" priority="178" operator="containsText" text="MEDIO">
      <formula>NOT(ISERROR(SEARCH("MEDIO",D103)))</formula>
    </cfRule>
  </conditionalFormatting>
  <conditionalFormatting sqref="D103:E103">
    <cfRule type="containsText" dxfId="2621" priority="185" operator="containsText" text="BAJO">
      <formula>NOT(ISERROR(SEARCH("BAJO",D103)))</formula>
    </cfRule>
    <cfRule type="containsText" dxfId="2620" priority="186" operator="containsText" text="MODERADO">
      <formula>NOT(ISERROR(SEARCH("MODERADO",D103)))</formula>
    </cfRule>
    <cfRule type="containsText" dxfId="2619" priority="187" operator="containsText" text="SANO">
      <formula>NOT(ISERROR(SEARCH("SANO",D103)))</formula>
    </cfRule>
    <cfRule type="containsText" dxfId="2618" priority="188" operator="containsText" text="ALTO">
      <formula>NOT(ISERROR(SEARCH("ALTO",D103)))</formula>
    </cfRule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17" priority="190" operator="containsText" text="ALTO">
      <formula>NOT(ISERROR(SEARCH("ALTO",D103)))</formula>
    </cfRule>
  </conditionalFormatting>
  <conditionalFormatting sqref="D104:E104">
    <cfRule type="containsText" dxfId="2616" priority="167" operator="containsText" text="MODERADO">
      <formula>NOT(ISERROR(SEARCH("MODERADO",D104)))</formula>
    </cfRule>
    <cfRule type="containsText" dxfId="2615" priority="168" operator="containsText" text="SANO">
      <formula>NOT(ISERROR(SEARCH("SANO",D104)))</formula>
    </cfRule>
    <cfRule type="containsText" dxfId="2614" priority="169" operator="containsText" text="ALTO">
      <formula>NOT(ISERROR(SEARCH("ALTO",D104)))</formula>
    </cfRule>
    <cfRule type="containsText" dxfId="2613" priority="170" operator="containsText" text="BAJO">
      <formula>NOT(ISERROR(SEARCH("BAJO",D104)))</formula>
    </cfRule>
    <cfRule type="containsText" dxfId="2612" priority="171" operator="containsText" text="FALTA">
      <formula>NOT(ISERROR(SEARCH("FALTA",D104)))</formula>
    </cfRule>
  </conditionalFormatting>
  <conditionalFormatting sqref="D104:E104">
    <cfRule type="containsText" dxfId="2611" priority="166" operator="containsText" text="N/A">
      <formula>NOT(ISERROR(SEARCH("N/A",D104)))</formula>
    </cfRule>
  </conditionalFormatting>
  <conditionalFormatting sqref="D104:E104">
    <cfRule type="containsText" dxfId="2610" priority="165" operator="containsText" text="MEDIO">
      <formula>NOT(ISERROR(SEARCH("MEDIO",D104)))</formula>
    </cfRule>
  </conditionalFormatting>
  <conditionalFormatting sqref="D104:E104">
    <cfRule type="containsText" dxfId="2609" priority="172" operator="containsText" text="BAJO">
      <formula>NOT(ISERROR(SEARCH("BAJO",D104)))</formula>
    </cfRule>
    <cfRule type="containsText" dxfId="2608" priority="173" operator="containsText" text="MODERADO">
      <formula>NOT(ISERROR(SEARCH("MODERADO",D104)))</formula>
    </cfRule>
    <cfRule type="containsText" dxfId="2607" priority="174" operator="containsText" text="SANO">
      <formula>NOT(ISERROR(SEARCH("SANO",D104)))</formula>
    </cfRule>
    <cfRule type="containsText" dxfId="2606" priority="175" operator="containsText" text="ALTO">
      <formula>NOT(ISERROR(SEARCH("ALTO",D104)))</formula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05" priority="177" operator="containsText" text="ALTO">
      <formula>NOT(ISERROR(SEARCH("ALTO",D104)))</formula>
    </cfRule>
  </conditionalFormatting>
  <conditionalFormatting sqref="D109:E109">
    <cfRule type="containsText" dxfId="2604" priority="154" operator="containsText" text="MODERADO">
      <formula>NOT(ISERROR(SEARCH("MODERADO",D109)))</formula>
    </cfRule>
    <cfRule type="containsText" dxfId="2603" priority="155" operator="containsText" text="SANO">
      <formula>NOT(ISERROR(SEARCH("SANO",D109)))</formula>
    </cfRule>
    <cfRule type="containsText" dxfId="2602" priority="156" operator="containsText" text="ALTO">
      <formula>NOT(ISERROR(SEARCH("ALTO",D109)))</formula>
    </cfRule>
    <cfRule type="containsText" dxfId="2601" priority="157" operator="containsText" text="BAJO">
      <formula>NOT(ISERROR(SEARCH("BAJO",D109)))</formula>
    </cfRule>
    <cfRule type="containsText" dxfId="2600" priority="158" operator="containsText" text="FALTA">
      <formula>NOT(ISERROR(SEARCH("FALTA",D109)))</formula>
    </cfRule>
  </conditionalFormatting>
  <conditionalFormatting sqref="D109:E109">
    <cfRule type="containsText" dxfId="2599" priority="153" operator="containsText" text="N/A">
      <formula>NOT(ISERROR(SEARCH("N/A",D109)))</formula>
    </cfRule>
  </conditionalFormatting>
  <conditionalFormatting sqref="D109:E109">
    <cfRule type="containsText" dxfId="2598" priority="152" operator="containsText" text="MEDIO">
      <formula>NOT(ISERROR(SEARCH("MEDIO",D109)))</formula>
    </cfRule>
  </conditionalFormatting>
  <conditionalFormatting sqref="D109:E109">
    <cfRule type="containsText" dxfId="2597" priority="159" operator="containsText" text="BAJO">
      <formula>NOT(ISERROR(SEARCH("BAJO",D109)))</formula>
    </cfRule>
    <cfRule type="containsText" dxfId="2596" priority="160" operator="containsText" text="MODERADO">
      <formula>NOT(ISERROR(SEARCH("MODERADO",D109)))</formula>
    </cfRule>
    <cfRule type="containsText" dxfId="2595" priority="161" operator="containsText" text="SANO">
      <formula>NOT(ISERROR(SEARCH("SANO",D109)))</formula>
    </cfRule>
    <cfRule type="containsText" dxfId="2594" priority="162" operator="containsText" text="ALTO">
      <formula>NOT(ISERROR(SEARCH("ALTO",D109)))</formula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93" priority="164" operator="containsText" text="ALTO">
      <formula>NOT(ISERROR(SEARCH("ALTO",D109)))</formula>
    </cfRule>
  </conditionalFormatting>
  <conditionalFormatting sqref="D110:E110">
    <cfRule type="containsText" dxfId="2592" priority="141" operator="containsText" text="MODERADO">
      <formula>NOT(ISERROR(SEARCH("MODERADO",D110)))</formula>
    </cfRule>
    <cfRule type="containsText" dxfId="2591" priority="142" operator="containsText" text="SANO">
      <formula>NOT(ISERROR(SEARCH("SANO",D110)))</formula>
    </cfRule>
    <cfRule type="containsText" dxfId="2590" priority="143" operator="containsText" text="ALTO">
      <formula>NOT(ISERROR(SEARCH("ALTO",D110)))</formula>
    </cfRule>
    <cfRule type="containsText" dxfId="2589" priority="144" operator="containsText" text="BAJO">
      <formula>NOT(ISERROR(SEARCH("BAJO",D110)))</formula>
    </cfRule>
    <cfRule type="containsText" dxfId="2588" priority="145" operator="containsText" text="FALTA">
      <formula>NOT(ISERROR(SEARCH("FALTA",D110)))</formula>
    </cfRule>
  </conditionalFormatting>
  <conditionalFormatting sqref="D110:E110">
    <cfRule type="containsText" dxfId="2587" priority="140" operator="containsText" text="N/A">
      <formula>NOT(ISERROR(SEARCH("N/A",D110)))</formula>
    </cfRule>
  </conditionalFormatting>
  <conditionalFormatting sqref="D110:E110">
    <cfRule type="containsText" dxfId="2586" priority="139" operator="containsText" text="MEDIO">
      <formula>NOT(ISERROR(SEARCH("MEDIO",D110)))</formula>
    </cfRule>
  </conditionalFormatting>
  <conditionalFormatting sqref="D110:E110">
    <cfRule type="containsText" dxfId="2585" priority="146" operator="containsText" text="BAJO">
      <formula>NOT(ISERROR(SEARCH("BAJO",D110)))</formula>
    </cfRule>
    <cfRule type="containsText" dxfId="2584" priority="147" operator="containsText" text="MODERADO">
      <formula>NOT(ISERROR(SEARCH("MODERADO",D110)))</formula>
    </cfRule>
    <cfRule type="containsText" dxfId="2583" priority="148" operator="containsText" text="SANO">
      <formula>NOT(ISERROR(SEARCH("SANO",D110)))</formula>
    </cfRule>
    <cfRule type="containsText" dxfId="2582" priority="149" operator="containsText" text="ALTO">
      <formula>NOT(ISERROR(SEARCH("ALTO",D110)))</formula>
    </cfRule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81" priority="151" operator="containsText" text="ALTO">
      <formula>NOT(ISERROR(SEARCH("ALTO",D110)))</formula>
    </cfRule>
  </conditionalFormatting>
  <conditionalFormatting sqref="D113:E113">
    <cfRule type="containsText" dxfId="2580" priority="128" operator="containsText" text="MODERADO">
      <formula>NOT(ISERROR(SEARCH("MODERADO",D113)))</formula>
    </cfRule>
    <cfRule type="containsText" dxfId="2579" priority="129" operator="containsText" text="SANO">
      <formula>NOT(ISERROR(SEARCH("SANO",D113)))</formula>
    </cfRule>
    <cfRule type="containsText" dxfId="2578" priority="130" operator="containsText" text="ALTO">
      <formula>NOT(ISERROR(SEARCH("ALTO",D113)))</formula>
    </cfRule>
    <cfRule type="containsText" dxfId="2577" priority="131" operator="containsText" text="BAJO">
      <formula>NOT(ISERROR(SEARCH("BAJO",D113)))</formula>
    </cfRule>
    <cfRule type="containsText" dxfId="2576" priority="132" operator="containsText" text="FALTA">
      <formula>NOT(ISERROR(SEARCH("FALTA",D113)))</formula>
    </cfRule>
  </conditionalFormatting>
  <conditionalFormatting sqref="D113:E113">
    <cfRule type="containsText" dxfId="2575" priority="127" operator="containsText" text="N/A">
      <formula>NOT(ISERROR(SEARCH("N/A",D113)))</formula>
    </cfRule>
  </conditionalFormatting>
  <conditionalFormatting sqref="D113:E113">
    <cfRule type="containsText" dxfId="2574" priority="126" operator="containsText" text="MEDIO">
      <formula>NOT(ISERROR(SEARCH("MEDIO",D113)))</formula>
    </cfRule>
  </conditionalFormatting>
  <conditionalFormatting sqref="D113:E113">
    <cfRule type="containsText" dxfId="2573" priority="133" operator="containsText" text="BAJO">
      <formula>NOT(ISERROR(SEARCH("BAJO",D113)))</formula>
    </cfRule>
    <cfRule type="containsText" dxfId="2572" priority="134" operator="containsText" text="MODERADO">
      <formula>NOT(ISERROR(SEARCH("MODERADO",D113)))</formula>
    </cfRule>
    <cfRule type="containsText" dxfId="2571" priority="135" operator="containsText" text="SANO">
      <formula>NOT(ISERROR(SEARCH("SANO",D113)))</formula>
    </cfRule>
    <cfRule type="containsText" dxfId="2570" priority="136" operator="containsText" text="ALTO">
      <formula>NOT(ISERROR(SEARCH("ALTO",D113)))</formula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69" priority="138" operator="containsText" text="ALTO">
      <formula>NOT(ISERROR(SEARCH("ALTO",D113)))</formula>
    </cfRule>
  </conditionalFormatting>
  <conditionalFormatting sqref="D114:E116">
    <cfRule type="containsText" dxfId="2568" priority="115" operator="containsText" text="MODERADO">
      <formula>NOT(ISERROR(SEARCH("MODERADO",D114)))</formula>
    </cfRule>
    <cfRule type="containsText" dxfId="2567" priority="116" operator="containsText" text="SANO">
      <formula>NOT(ISERROR(SEARCH("SANO",D114)))</formula>
    </cfRule>
    <cfRule type="containsText" dxfId="2566" priority="117" operator="containsText" text="ALTO">
      <formula>NOT(ISERROR(SEARCH("ALTO",D114)))</formula>
    </cfRule>
    <cfRule type="containsText" dxfId="2565" priority="118" operator="containsText" text="BAJO">
      <formula>NOT(ISERROR(SEARCH("BAJO",D114)))</formula>
    </cfRule>
    <cfRule type="containsText" dxfId="2564" priority="119" operator="containsText" text="FALTA">
      <formula>NOT(ISERROR(SEARCH("FALTA",D114)))</formula>
    </cfRule>
  </conditionalFormatting>
  <conditionalFormatting sqref="D114:E116">
    <cfRule type="containsText" dxfId="2563" priority="114" operator="containsText" text="N/A">
      <formula>NOT(ISERROR(SEARCH("N/A",D114)))</formula>
    </cfRule>
  </conditionalFormatting>
  <conditionalFormatting sqref="D114:E116">
    <cfRule type="containsText" dxfId="2562" priority="113" operator="containsText" text="MEDIO">
      <formula>NOT(ISERROR(SEARCH("MEDIO",D114)))</formula>
    </cfRule>
  </conditionalFormatting>
  <conditionalFormatting sqref="D114:E116">
    <cfRule type="containsText" dxfId="2561" priority="120" operator="containsText" text="BAJO">
      <formula>NOT(ISERROR(SEARCH("BAJO",D114)))</formula>
    </cfRule>
    <cfRule type="containsText" dxfId="2560" priority="121" operator="containsText" text="MODERADO">
      <formula>NOT(ISERROR(SEARCH("MODERADO",D114)))</formula>
    </cfRule>
    <cfRule type="containsText" dxfId="2559" priority="122" operator="containsText" text="SANO">
      <formula>NOT(ISERROR(SEARCH("SANO",D114)))</formula>
    </cfRule>
    <cfRule type="containsText" dxfId="2558" priority="123" operator="containsText" text="ALTO">
      <formula>NOT(ISERROR(SEARCH("ALTO",D114)))</formula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57" priority="125" operator="containsText" text="ALTO">
      <formula>NOT(ISERROR(SEARCH("ALTO",D114)))</formula>
    </cfRule>
  </conditionalFormatting>
  <conditionalFormatting sqref="D39:E39 D25:E25 E3:E9">
    <cfRule type="containsText" dxfId="2556" priority="108" operator="containsText" text="MODERADO">
      <formula>NOT(ISERROR(SEARCH("MODERADO",D3)))</formula>
    </cfRule>
    <cfRule type="containsText" dxfId="2555" priority="109" operator="containsText" text="SANO">
      <formula>NOT(ISERROR(SEARCH("SANO",D3)))</formula>
    </cfRule>
    <cfRule type="containsText" dxfId="2554" priority="110" operator="containsText" text="ALTO">
      <formula>NOT(ISERROR(SEARCH("ALTO",D3)))</formula>
    </cfRule>
    <cfRule type="containsText" dxfId="2553" priority="111" operator="containsText" text="BAJO">
      <formula>NOT(ISERROR(SEARCH("BAJO",D3)))</formula>
    </cfRule>
    <cfRule type="containsText" dxfId="2552" priority="112" operator="containsText" text="FALTA">
      <formula>NOT(ISERROR(SEARCH("FALTA",D3)))</formula>
    </cfRule>
  </conditionalFormatting>
  <conditionalFormatting sqref="D39:E39 D25:E25 E3:E9">
    <cfRule type="containsText" dxfId="2551" priority="107" operator="containsText" text="N/A">
      <formula>NOT(ISERROR(SEARCH("N/A",D3)))</formula>
    </cfRule>
  </conditionalFormatting>
  <conditionalFormatting sqref="D25:E25">
    <cfRule type="containsText" dxfId="2550" priority="106" operator="containsText" text="MEDIO">
      <formula>NOT(ISERROR(SEARCH("MEDIO",D25)))</formula>
    </cfRule>
  </conditionalFormatting>
  <conditionalFormatting sqref="D27:E27">
    <cfRule type="containsText" dxfId="2549" priority="95" operator="containsText" text="MODERADO">
      <formula>NOT(ISERROR(SEARCH("MODERADO",D27)))</formula>
    </cfRule>
    <cfRule type="containsText" dxfId="2548" priority="96" operator="containsText" text="SANO">
      <formula>NOT(ISERROR(SEARCH("SANO",D27)))</formula>
    </cfRule>
    <cfRule type="containsText" dxfId="2547" priority="97" operator="containsText" text="ALTO">
      <formula>NOT(ISERROR(SEARCH("ALTO",D27)))</formula>
    </cfRule>
    <cfRule type="containsText" dxfId="2546" priority="98" operator="containsText" text="BAJO">
      <formula>NOT(ISERROR(SEARCH("BAJO",D27)))</formula>
    </cfRule>
    <cfRule type="containsText" dxfId="2545" priority="99" operator="containsText" text="FALTA">
      <formula>NOT(ISERROR(SEARCH("FALTA",D27)))</formula>
    </cfRule>
  </conditionalFormatting>
  <conditionalFormatting sqref="D27:E27">
    <cfRule type="containsText" dxfId="2544" priority="94" operator="containsText" text="N/A">
      <formula>NOT(ISERROR(SEARCH("N/A",D27)))</formula>
    </cfRule>
  </conditionalFormatting>
  <conditionalFormatting sqref="D27:E27">
    <cfRule type="containsText" dxfId="2543" priority="93" operator="containsText" text="MEDIO">
      <formula>NOT(ISERROR(SEARCH("MEDIO",D27)))</formula>
    </cfRule>
  </conditionalFormatting>
  <conditionalFormatting sqref="D27:E27">
    <cfRule type="containsText" dxfId="2542" priority="100" operator="containsText" text="BAJO">
      <formula>NOT(ISERROR(SEARCH("BAJO",D27)))</formula>
    </cfRule>
    <cfRule type="containsText" dxfId="2541" priority="101" operator="containsText" text="MODERADO">
      <formula>NOT(ISERROR(SEARCH("MODERADO",D27)))</formula>
    </cfRule>
    <cfRule type="containsText" dxfId="2540" priority="102" operator="containsText" text="SANO">
      <formula>NOT(ISERROR(SEARCH("SANO",D27)))</formula>
    </cfRule>
    <cfRule type="containsText" dxfId="2539" priority="103" operator="containsText" text="ALTO">
      <formula>NOT(ISERROR(SEARCH("ALTO",D27)))</formula>
    </cfRule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38" priority="105" operator="containsText" text="ALTO">
      <formula>NOT(ISERROR(SEARCH("ALTO",D27)))</formula>
    </cfRule>
  </conditionalFormatting>
  <conditionalFormatting sqref="D111:E112 D105:E108 D85:E100">
    <cfRule type="containsText" dxfId="2537" priority="382" operator="containsText" text="BAJO">
      <formula>NOT(ISERROR(SEARCH("BAJO",D85)))</formula>
    </cfRule>
    <cfRule type="containsText" dxfId="2536" priority="383" operator="containsText" text="MODERADO">
      <formula>NOT(ISERROR(SEARCH("MODERADO",D85)))</formula>
    </cfRule>
    <cfRule type="containsText" dxfId="2535" priority="384" operator="containsText" text="SANO">
      <formula>NOT(ISERROR(SEARCH("SANO",D85)))</formula>
    </cfRule>
    <cfRule type="containsText" dxfId="2534" priority="385" operator="containsText" text="ALTO">
      <formula>NOT(ISERROR(SEARCH("ALTO",D85)))</formula>
    </cfRule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33" priority="387" operator="containsText" text="ALTO">
      <formula>NOT(ISERROR(SEARCH("ALTO",D85)))</formula>
    </cfRule>
  </conditionalFormatting>
  <conditionalFormatting sqref="B14">
    <cfRule type="containsText" dxfId="2532" priority="92" operator="containsText" text="SANOS">
      <formula>NOT(ISERROR(SEARCH("SANOS",B14)))</formula>
    </cfRule>
  </conditionalFormatting>
  <conditionalFormatting sqref="C14">
    <cfRule type="containsText" dxfId="2531" priority="91" operator="containsText" text="R. MODERADO">
      <formula>NOT(ISERROR(SEARCH("R. MODERADO",C14)))</formula>
    </cfRule>
  </conditionalFormatting>
  <conditionalFormatting sqref="D28:E28">
    <cfRule type="containsText" dxfId="2530" priority="90" operator="containsText" text="MEDIO">
      <formula>NOT(ISERROR(SEARCH("MEDIO",D28)))</formula>
    </cfRule>
  </conditionalFormatting>
  <conditionalFormatting sqref="D28:E28">
    <cfRule type="containsText" dxfId="2529" priority="87" operator="containsText" text="SANO">
      <formula>NOT(ISERROR(SEARCH("SANO",D28)))</formula>
    </cfRule>
    <cfRule type="containsText" dxfId="2528" priority="88" operator="containsText" text="ALTO">
      <formula>NOT(ISERROR(SEARCH("ALTO",D28)))</formula>
    </cfRule>
    <cfRule type="containsText" dxfId="2527" priority="89" operator="containsText" text="FALTA">
      <formula>NOT(ISERROR(SEARCH("FALTA",D28)))</formula>
    </cfRule>
  </conditionalFormatting>
  <conditionalFormatting sqref="D28:E28">
    <cfRule type="containsText" dxfId="2526" priority="76" operator="containsText" text="MODERADO">
      <formula>NOT(ISERROR(SEARCH("MODERADO",D28)))</formula>
    </cfRule>
    <cfRule type="containsText" dxfId="2525" priority="77" operator="containsText" text="SANO">
      <formula>NOT(ISERROR(SEARCH("SANO",D28)))</formula>
    </cfRule>
    <cfRule type="containsText" dxfId="2524" priority="78" operator="containsText" text="ALTO">
      <formula>NOT(ISERROR(SEARCH("ALTO",D28)))</formula>
    </cfRule>
    <cfRule type="containsText" dxfId="2523" priority="79" operator="containsText" text="BAJO">
      <formula>NOT(ISERROR(SEARCH("BAJO",D28)))</formula>
    </cfRule>
    <cfRule type="containsText" dxfId="2522" priority="80" operator="containsText" text="FALTA">
      <formula>NOT(ISERROR(SEARCH("FALTA",D28)))</formula>
    </cfRule>
  </conditionalFormatting>
  <conditionalFormatting sqref="D28:E28">
    <cfRule type="containsText" dxfId="2521" priority="75" operator="containsText" text="N/A">
      <formula>NOT(ISERROR(SEARCH("N/A",D28)))</formula>
    </cfRule>
  </conditionalFormatting>
  <conditionalFormatting sqref="D28:E28">
    <cfRule type="containsText" dxfId="2520" priority="81" operator="containsText" text="BAJO">
      <formula>NOT(ISERROR(SEARCH("BAJO",D28)))</formula>
    </cfRule>
    <cfRule type="containsText" dxfId="2519" priority="82" operator="containsText" text="MODERADO">
      <formula>NOT(ISERROR(SEARCH("MODERADO",D28)))</formula>
    </cfRule>
    <cfRule type="containsText" dxfId="2518" priority="83" operator="containsText" text="SANO">
      <formula>NOT(ISERROR(SEARCH("SANO",D28)))</formula>
    </cfRule>
    <cfRule type="containsText" dxfId="2517" priority="84" operator="containsText" text="ALTO">
      <formula>NOT(ISERROR(SEARCH("ALTO",D28)))</formula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16" priority="86" operator="containsText" text="ALTO">
      <formula>NOT(ISERROR(SEARCH("ALTO",D28)))</formula>
    </cfRule>
  </conditionalFormatting>
  <conditionalFormatting sqref="D28:E28">
    <cfRule type="containsText" dxfId="2515" priority="64" operator="containsText" text="MODERADO">
      <formula>NOT(ISERROR(SEARCH("MODERADO",D28)))</formula>
    </cfRule>
    <cfRule type="containsText" dxfId="2514" priority="65" operator="containsText" text="SANO">
      <formula>NOT(ISERROR(SEARCH("SANO",D28)))</formula>
    </cfRule>
    <cfRule type="containsText" dxfId="2513" priority="66" operator="containsText" text="ALTO">
      <formula>NOT(ISERROR(SEARCH("ALTO",D28)))</formula>
    </cfRule>
    <cfRule type="containsText" dxfId="2512" priority="67" operator="containsText" text="BAJO">
      <formula>NOT(ISERROR(SEARCH("BAJO",D28)))</formula>
    </cfRule>
    <cfRule type="containsText" dxfId="2511" priority="68" operator="containsText" text="FALTA">
      <formula>NOT(ISERROR(SEARCH("FALTA",D28)))</formula>
    </cfRule>
  </conditionalFormatting>
  <conditionalFormatting sqref="D28:E28">
    <cfRule type="containsText" dxfId="2510" priority="63" operator="containsText" text="N/A">
      <formula>NOT(ISERROR(SEARCH("N/A",D28)))</formula>
    </cfRule>
  </conditionalFormatting>
  <conditionalFormatting sqref="D28:E28">
    <cfRule type="containsText" dxfId="2509" priority="69" operator="containsText" text="BAJO">
      <formula>NOT(ISERROR(SEARCH("BAJO",D28)))</formula>
    </cfRule>
    <cfRule type="containsText" dxfId="2508" priority="70" operator="containsText" text="MODERADO">
      <formula>NOT(ISERROR(SEARCH("MODERADO",D28)))</formula>
    </cfRule>
    <cfRule type="containsText" dxfId="2507" priority="71" operator="containsText" text="SANO">
      <formula>NOT(ISERROR(SEARCH("SANO",D28)))</formula>
    </cfRule>
    <cfRule type="containsText" dxfId="2506" priority="72" operator="containsText" text="ALTO">
      <formula>NOT(ISERROR(SEARCH("ALTO",D28)))</formula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05" priority="74" operator="containsText" text="ALTO">
      <formula>NOT(ISERROR(SEARCH("ALTO",D28)))</formula>
    </cfRule>
  </conditionalFormatting>
  <conditionalFormatting sqref="B28">
    <cfRule type="containsText" dxfId="2504" priority="62" operator="containsText" text="SANOS">
      <formula>NOT(ISERROR(SEARCH("SANOS",B28)))</formula>
    </cfRule>
  </conditionalFormatting>
  <conditionalFormatting sqref="C28">
    <cfRule type="containsText" dxfId="2503" priority="61" operator="containsText" text="R. MODERADO">
      <formula>NOT(ISERROR(SEARCH("R. MODERADO",C28)))</formula>
    </cfRule>
  </conditionalFormatting>
  <conditionalFormatting sqref="D42:E42">
    <cfRule type="containsText" dxfId="2502" priority="60" operator="containsText" text="MEDIO">
      <formula>NOT(ISERROR(SEARCH("MEDIO",D42)))</formula>
    </cfRule>
  </conditionalFormatting>
  <conditionalFormatting sqref="D42:E42">
    <cfRule type="containsText" dxfId="2501" priority="57" operator="containsText" text="SANO">
      <formula>NOT(ISERROR(SEARCH("SANO",D42)))</formula>
    </cfRule>
    <cfRule type="containsText" dxfId="2500" priority="58" operator="containsText" text="ALTO">
      <formula>NOT(ISERROR(SEARCH("ALTO",D42)))</formula>
    </cfRule>
    <cfRule type="containsText" dxfId="2499" priority="59" operator="containsText" text="FALTA">
      <formula>NOT(ISERROR(SEARCH("FALTA",D42)))</formula>
    </cfRule>
  </conditionalFormatting>
  <conditionalFormatting sqref="D42:E42">
    <cfRule type="containsText" dxfId="2498" priority="46" operator="containsText" text="MODERADO">
      <formula>NOT(ISERROR(SEARCH("MODERADO",D42)))</formula>
    </cfRule>
    <cfRule type="containsText" dxfId="2497" priority="47" operator="containsText" text="SANO">
      <formula>NOT(ISERROR(SEARCH("SANO",D42)))</formula>
    </cfRule>
    <cfRule type="containsText" dxfId="2496" priority="48" operator="containsText" text="ALTO">
      <formula>NOT(ISERROR(SEARCH("ALTO",D42)))</formula>
    </cfRule>
    <cfRule type="containsText" dxfId="2495" priority="49" operator="containsText" text="BAJO">
      <formula>NOT(ISERROR(SEARCH("BAJO",D42)))</formula>
    </cfRule>
    <cfRule type="containsText" dxfId="2494" priority="50" operator="containsText" text="FALTA">
      <formula>NOT(ISERROR(SEARCH("FALTA",D42)))</formula>
    </cfRule>
  </conditionalFormatting>
  <conditionalFormatting sqref="D42:E42">
    <cfRule type="containsText" dxfId="2493" priority="45" operator="containsText" text="N/A">
      <formula>NOT(ISERROR(SEARCH("N/A",D42)))</formula>
    </cfRule>
  </conditionalFormatting>
  <conditionalFormatting sqref="D42:E42">
    <cfRule type="containsText" dxfId="2492" priority="51" operator="containsText" text="BAJO">
      <formula>NOT(ISERROR(SEARCH("BAJO",D42)))</formula>
    </cfRule>
    <cfRule type="containsText" dxfId="2491" priority="52" operator="containsText" text="MODERADO">
      <formula>NOT(ISERROR(SEARCH("MODERADO",D42)))</formula>
    </cfRule>
    <cfRule type="containsText" dxfId="2490" priority="53" operator="containsText" text="SANO">
      <formula>NOT(ISERROR(SEARCH("SANO",D42)))</formula>
    </cfRule>
    <cfRule type="containsText" dxfId="2489" priority="54" operator="containsText" text="ALTO">
      <formula>NOT(ISERROR(SEARCH("ALTO",D42)))</formula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88" priority="56" operator="containsText" text="ALTO">
      <formula>NOT(ISERROR(SEARCH("ALTO",D42)))</formula>
    </cfRule>
  </conditionalFormatting>
  <conditionalFormatting sqref="D42:E42">
    <cfRule type="containsText" dxfId="2487" priority="34" operator="containsText" text="MODERADO">
      <formula>NOT(ISERROR(SEARCH("MODERADO",D42)))</formula>
    </cfRule>
    <cfRule type="containsText" dxfId="2486" priority="35" operator="containsText" text="SANO">
      <formula>NOT(ISERROR(SEARCH("SANO",D42)))</formula>
    </cfRule>
    <cfRule type="containsText" dxfId="2485" priority="36" operator="containsText" text="ALTO">
      <formula>NOT(ISERROR(SEARCH("ALTO",D42)))</formula>
    </cfRule>
    <cfRule type="containsText" dxfId="2484" priority="37" operator="containsText" text="BAJO">
      <formula>NOT(ISERROR(SEARCH("BAJO",D42)))</formula>
    </cfRule>
    <cfRule type="containsText" dxfId="2483" priority="38" operator="containsText" text="FALTA">
      <formula>NOT(ISERROR(SEARCH("FALTA",D42)))</formula>
    </cfRule>
  </conditionalFormatting>
  <conditionalFormatting sqref="D42:E42">
    <cfRule type="containsText" dxfId="2482" priority="33" operator="containsText" text="N/A">
      <formula>NOT(ISERROR(SEARCH("N/A",D42)))</formula>
    </cfRule>
  </conditionalFormatting>
  <conditionalFormatting sqref="D42:E42">
    <cfRule type="containsText" dxfId="2481" priority="39" operator="containsText" text="BAJO">
      <formula>NOT(ISERROR(SEARCH("BAJO",D42)))</formula>
    </cfRule>
    <cfRule type="containsText" dxfId="2480" priority="40" operator="containsText" text="MODERADO">
      <formula>NOT(ISERROR(SEARCH("MODERADO",D42)))</formula>
    </cfRule>
    <cfRule type="containsText" dxfId="2479" priority="41" operator="containsText" text="SANO">
      <formula>NOT(ISERROR(SEARCH("SANO",D42)))</formula>
    </cfRule>
    <cfRule type="containsText" dxfId="2478" priority="42" operator="containsText" text="ALTO">
      <formula>NOT(ISERROR(SEARCH("ALTO",D42)))</formula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77" priority="44" operator="containsText" text="ALTO">
      <formula>NOT(ISERROR(SEARCH("ALTO",D42)))</formula>
    </cfRule>
  </conditionalFormatting>
  <conditionalFormatting sqref="B42">
    <cfRule type="containsText" dxfId="2476" priority="32" operator="containsText" text="SANOS">
      <formula>NOT(ISERROR(SEARCH("SANOS",B42)))</formula>
    </cfRule>
  </conditionalFormatting>
  <conditionalFormatting sqref="C42">
    <cfRule type="containsText" dxfId="2475" priority="31" operator="containsText" text="R. MODERADO">
      <formula>NOT(ISERROR(SEARCH("R. MODERADO",C42)))</formula>
    </cfRule>
  </conditionalFormatting>
  <conditionalFormatting sqref="D26:E26">
    <cfRule type="containsText" dxfId="2474" priority="517" operator="containsText" text="BAJO">
      <formula>NOT(ISERROR(SEARCH("BAJO",D26)))</formula>
    </cfRule>
    <cfRule type="containsText" dxfId="2473" priority="518" operator="containsText" text="MODERADO">
      <formula>NOT(ISERROR(SEARCH("MODERADO",D26)))</formula>
    </cfRule>
    <cfRule type="containsText" dxfId="2472" priority="519" operator="containsText" text="SANO">
      <formula>NOT(ISERROR(SEARCH("SANO",D26)))</formula>
    </cfRule>
    <cfRule type="containsText" dxfId="2471" priority="520" operator="containsText" text="ALTO">
      <formula>NOT(ISERROR(SEARCH("ALTO",D26)))</formula>
    </cfRule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70" priority="522" operator="containsText" text="ALTO">
      <formula>NOT(ISERROR(SEARCH("ALTO",D26)))</formula>
    </cfRule>
  </conditionalFormatting>
  <conditionalFormatting sqref="D12:E14 E3:E11">
    <cfRule type="containsText" dxfId="2469" priority="523" operator="containsText" text="BAJO">
      <formula>NOT(ISERROR(SEARCH("BAJO",D3)))</formula>
    </cfRule>
    <cfRule type="containsText" dxfId="2468" priority="524" operator="containsText" text="MODERADO">
      <formula>NOT(ISERROR(SEARCH("MODERADO",D3)))</formula>
    </cfRule>
    <cfRule type="containsText" dxfId="2467" priority="525" operator="containsText" text="SANO">
      <formula>NOT(ISERROR(SEARCH("SANO",D3)))</formula>
    </cfRule>
    <cfRule type="containsText" dxfId="2466" priority="526" operator="containsText" text="ALTO">
      <formula>NOT(ISERROR(SEARCH("ALTO",D3)))</formula>
    </cfRule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65" priority="528" operator="containsText" text="ALTO">
      <formula>NOT(ISERROR(SEARCH("ALTO",D3)))</formula>
    </cfRule>
  </conditionalFormatting>
  <conditionalFormatting sqref="D39:E39">
    <cfRule type="containsText" dxfId="2464" priority="529" operator="containsText" text="BAJO">
      <formula>NOT(ISERROR(SEARCH("BAJO",D39)))</formula>
    </cfRule>
    <cfRule type="containsText" dxfId="2463" priority="530" operator="containsText" text="MODERADO">
      <formula>NOT(ISERROR(SEARCH("MODERADO",D39)))</formula>
    </cfRule>
    <cfRule type="containsText" dxfId="2462" priority="531" operator="containsText" text="SANO">
      <formula>NOT(ISERROR(SEARCH("SANO",D39)))</formula>
    </cfRule>
    <cfRule type="containsText" dxfId="2461" priority="532" operator="containsText" text="ALTO">
      <formula>NOT(ISERROR(SEARCH("ALTO",D39)))</formula>
    </cfRule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60" priority="534" operator="containsText" text="ALTO">
      <formula>NOT(ISERROR(SEARCH("ALTO",D39)))</formula>
    </cfRule>
  </conditionalFormatting>
  <conditionalFormatting sqref="D25:E25 D12:E14 E3:E11">
    <cfRule type="containsText" dxfId="2459" priority="535" operator="containsText" text="BAJO">
      <formula>NOT(ISERROR(SEARCH("BAJO",D3)))</formula>
    </cfRule>
    <cfRule type="containsText" dxfId="2458" priority="536" operator="containsText" text="MODERADO">
      <formula>NOT(ISERROR(SEARCH("MODERADO",D3)))</formula>
    </cfRule>
    <cfRule type="containsText" dxfId="2457" priority="537" operator="containsText" text="SANO">
      <formula>NOT(ISERROR(SEARCH("SANO",D3)))</formula>
    </cfRule>
    <cfRule type="containsText" dxfId="2456" priority="538" operator="containsText" text="ALTO">
      <formula>NOT(ISERROR(SEARCH("ALTO",D3)))</formula>
    </cfRule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55" priority="540" operator="containsText" text="ALTO">
      <formula>NOT(ISERROR(SEARCH("ALTO",D3)))</formula>
    </cfRule>
  </conditionalFormatting>
  <conditionalFormatting sqref="U42:V42">
    <cfRule type="containsText" dxfId="2454" priority="30" operator="containsText" text="MEDIO">
      <formula>NOT(ISERROR(SEARCH("MEDIO",U42)))</formula>
    </cfRule>
  </conditionalFormatting>
  <conditionalFormatting sqref="U42:V42">
    <cfRule type="containsText" dxfId="2453" priority="27" operator="containsText" text="SANO">
      <formula>NOT(ISERROR(SEARCH("SANO",U42)))</formula>
    </cfRule>
    <cfRule type="containsText" dxfId="2452" priority="28" operator="containsText" text="ALTO">
      <formula>NOT(ISERROR(SEARCH("ALTO",U42)))</formula>
    </cfRule>
    <cfRule type="containsText" dxfId="2451" priority="29" operator="containsText" text="FALTA">
      <formula>NOT(ISERROR(SEARCH("FALTA",U42)))</formula>
    </cfRule>
  </conditionalFormatting>
  <conditionalFormatting sqref="U42:V42">
    <cfRule type="containsText" dxfId="2450" priority="16" operator="containsText" text="MODERADO">
      <formula>NOT(ISERROR(SEARCH("MODERADO",U42)))</formula>
    </cfRule>
    <cfRule type="containsText" dxfId="2449" priority="17" operator="containsText" text="SANO">
      <formula>NOT(ISERROR(SEARCH("SANO",U42)))</formula>
    </cfRule>
    <cfRule type="containsText" dxfId="2448" priority="18" operator="containsText" text="ALTO">
      <formula>NOT(ISERROR(SEARCH("ALTO",U42)))</formula>
    </cfRule>
    <cfRule type="containsText" dxfId="2447" priority="19" operator="containsText" text="BAJO">
      <formula>NOT(ISERROR(SEARCH("BAJO",U42)))</formula>
    </cfRule>
    <cfRule type="containsText" dxfId="2446" priority="20" operator="containsText" text="FALTA">
      <formula>NOT(ISERROR(SEARCH("FALTA",U42)))</formula>
    </cfRule>
  </conditionalFormatting>
  <conditionalFormatting sqref="U42:V42">
    <cfRule type="containsText" dxfId="2445" priority="15" operator="containsText" text="N/A">
      <formula>NOT(ISERROR(SEARCH("N/A",U42)))</formula>
    </cfRule>
  </conditionalFormatting>
  <conditionalFormatting sqref="U42:V42">
    <cfRule type="containsText" dxfId="2444" priority="21" operator="containsText" text="BAJO">
      <formula>NOT(ISERROR(SEARCH("BAJO",U42)))</formula>
    </cfRule>
    <cfRule type="containsText" dxfId="2443" priority="22" operator="containsText" text="MODERADO">
      <formula>NOT(ISERROR(SEARCH("MODERADO",U42)))</formula>
    </cfRule>
    <cfRule type="containsText" dxfId="2442" priority="23" operator="containsText" text="SANO">
      <formula>NOT(ISERROR(SEARCH("SANO",U42)))</formula>
    </cfRule>
    <cfRule type="containsText" dxfId="2441" priority="24" operator="containsText" text="ALTO">
      <formula>NOT(ISERROR(SEARCH("ALTO",U42)))</formula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40" priority="26" operator="containsText" text="ALTO">
      <formula>NOT(ISERROR(SEARCH("ALTO",U42)))</formula>
    </cfRule>
  </conditionalFormatting>
  <conditionalFormatting sqref="U42:V42">
    <cfRule type="containsText" dxfId="2439" priority="4" operator="containsText" text="MODERADO">
      <formula>NOT(ISERROR(SEARCH("MODERADO",U42)))</formula>
    </cfRule>
    <cfRule type="containsText" dxfId="2438" priority="5" operator="containsText" text="SANO">
      <formula>NOT(ISERROR(SEARCH("SANO",U42)))</formula>
    </cfRule>
    <cfRule type="containsText" dxfId="2437" priority="6" operator="containsText" text="ALTO">
      <formula>NOT(ISERROR(SEARCH("ALTO",U42)))</formula>
    </cfRule>
    <cfRule type="containsText" dxfId="2436" priority="7" operator="containsText" text="BAJO">
      <formula>NOT(ISERROR(SEARCH("BAJO",U42)))</formula>
    </cfRule>
    <cfRule type="containsText" dxfId="2435" priority="8" operator="containsText" text="FALTA">
      <formula>NOT(ISERROR(SEARCH("FALTA",U42)))</formula>
    </cfRule>
  </conditionalFormatting>
  <conditionalFormatting sqref="U42:V42">
    <cfRule type="containsText" dxfId="2434" priority="3" operator="containsText" text="N/A">
      <formula>NOT(ISERROR(SEARCH("N/A",U42)))</formula>
    </cfRule>
  </conditionalFormatting>
  <conditionalFormatting sqref="U42:V42">
    <cfRule type="containsText" dxfId="2433" priority="9" operator="containsText" text="BAJO">
      <formula>NOT(ISERROR(SEARCH("BAJO",U42)))</formula>
    </cfRule>
    <cfRule type="containsText" dxfId="2432" priority="10" operator="containsText" text="MODERADO">
      <formula>NOT(ISERROR(SEARCH("MODERADO",U42)))</formula>
    </cfRule>
    <cfRule type="containsText" dxfId="2431" priority="11" operator="containsText" text="SANO">
      <formula>NOT(ISERROR(SEARCH("SANO",U42)))</formula>
    </cfRule>
    <cfRule type="containsText" dxfId="2430" priority="12" operator="containsText" text="ALTO">
      <formula>NOT(ISERROR(SEARCH("ALTO",U42)))</formula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29" priority="14" operator="containsText" text="ALTO">
      <formula>NOT(ISERROR(SEARCH("ALTO",U42)))</formula>
    </cfRule>
  </conditionalFormatting>
  <conditionalFormatting sqref="S42">
    <cfRule type="containsText" dxfId="2428" priority="2" operator="containsText" text="SANOS">
      <formula>NOT(ISERROR(SEARCH("SANOS",S42)))</formula>
    </cfRule>
  </conditionalFormatting>
  <conditionalFormatting sqref="T42">
    <cfRule type="containsText" dxfId="2427" priority="1" operator="containsText" text="R. MODERADO">
      <formula>NOT(ISERROR(SEARCH("R. MODERADO",T42)))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2"/>
  <sheetViews>
    <sheetView topLeftCell="B1" zoomScaleNormal="100" workbookViewId="0">
      <pane ySplit="2" topLeftCell="A111" activePane="bottomLeft" state="frozen"/>
      <selection pane="bottomLeft" activeCell="E113" sqref="E113"/>
    </sheetView>
  </sheetViews>
  <sheetFormatPr baseColWidth="10" defaultRowHeight="15" x14ac:dyDescent="0.25"/>
  <cols>
    <col min="1" max="1" width="5" customWidth="1"/>
    <col min="2" max="2" width="12" style="10" customWidth="1"/>
    <col min="3" max="3" width="20.28515625" style="10" customWidth="1"/>
    <col min="4" max="4" width="11.42578125" style="10"/>
    <col min="5" max="5" width="38.85546875" style="3" customWidth="1"/>
    <col min="6" max="6" width="11.7109375" style="4" customWidth="1"/>
    <col min="7" max="7" width="6.7109375" style="4" customWidth="1"/>
    <col min="8" max="15" width="13.7109375" customWidth="1"/>
    <col min="16" max="17" width="13.7109375" style="91" customWidth="1"/>
  </cols>
  <sheetData>
    <row r="1" spans="1:18" x14ac:dyDescent="0.25">
      <c r="B1" s="142" t="s">
        <v>264</v>
      </c>
      <c r="C1" s="142" t="s">
        <v>36</v>
      </c>
      <c r="D1" s="142" t="s">
        <v>0</v>
      </c>
      <c r="E1" s="144" t="s">
        <v>1</v>
      </c>
      <c r="F1" s="146" t="s">
        <v>232</v>
      </c>
      <c r="G1" s="144" t="s">
        <v>2</v>
      </c>
      <c r="H1" s="157" t="s">
        <v>296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</row>
    <row r="2" spans="1:18" x14ac:dyDescent="0.25">
      <c r="B2" s="143"/>
      <c r="C2" s="143"/>
      <c r="D2" s="143"/>
      <c r="E2" s="145"/>
      <c r="F2" s="147"/>
      <c r="G2" s="145"/>
      <c r="H2" s="61">
        <v>2016</v>
      </c>
      <c r="I2" s="61">
        <v>2017</v>
      </c>
      <c r="J2" s="61">
        <v>2018</v>
      </c>
      <c r="K2" s="61">
        <v>2019</v>
      </c>
      <c r="L2" s="61">
        <v>2020</v>
      </c>
      <c r="M2" s="61">
        <v>2021</v>
      </c>
      <c r="N2" s="61">
        <v>2022</v>
      </c>
      <c r="O2" s="61">
        <v>2023</v>
      </c>
      <c r="P2" s="89">
        <v>2024</v>
      </c>
      <c r="Q2" s="98">
        <v>2025</v>
      </c>
      <c r="R2" s="100">
        <v>2026</v>
      </c>
    </row>
    <row r="3" spans="1:18" x14ac:dyDescent="0.25">
      <c r="A3">
        <v>1</v>
      </c>
      <c r="B3" s="72" t="s">
        <v>265</v>
      </c>
      <c r="C3" s="72" t="s">
        <v>274</v>
      </c>
      <c r="D3" s="72" t="s">
        <v>40</v>
      </c>
      <c r="E3" s="21" t="s">
        <v>38</v>
      </c>
      <c r="F3" s="43">
        <v>24129</v>
      </c>
      <c r="G3" s="2">
        <f t="shared" ref="G3:G24" ca="1" si="0">DATEDIF(F3,TODAY(),"Y")</f>
        <v>60</v>
      </c>
      <c r="H3" s="2" t="s">
        <v>273</v>
      </c>
      <c r="I3" s="2" t="s">
        <v>249</v>
      </c>
      <c r="J3" s="2" t="s">
        <v>249</v>
      </c>
      <c r="K3" s="2" t="s">
        <v>249</v>
      </c>
      <c r="L3" s="2" t="s">
        <v>272</v>
      </c>
      <c r="M3" s="2" t="s">
        <v>273</v>
      </c>
      <c r="N3" s="2" t="s">
        <v>249</v>
      </c>
      <c r="O3" s="2" t="s">
        <v>272</v>
      </c>
      <c r="P3" s="93" t="s">
        <v>273</v>
      </c>
      <c r="Q3" s="93" t="s">
        <v>272</v>
      </c>
      <c r="R3" s="93"/>
    </row>
    <row r="4" spans="1:18" x14ac:dyDescent="0.25">
      <c r="A4">
        <v>2</v>
      </c>
      <c r="B4" s="72" t="s">
        <v>265</v>
      </c>
      <c r="C4" s="72" t="s">
        <v>286</v>
      </c>
      <c r="D4" s="72" t="s">
        <v>41</v>
      </c>
      <c r="E4" s="21" t="s">
        <v>39</v>
      </c>
      <c r="F4" s="43">
        <v>24096</v>
      </c>
      <c r="G4" s="2">
        <f t="shared" ca="1" si="0"/>
        <v>60</v>
      </c>
      <c r="H4" s="2" t="s">
        <v>272</v>
      </c>
      <c r="I4" s="2" t="s">
        <v>244</v>
      </c>
      <c r="J4" s="2" t="s">
        <v>272</v>
      </c>
      <c r="K4" s="2" t="s">
        <v>244</v>
      </c>
      <c r="L4" s="2" t="s">
        <v>244</v>
      </c>
      <c r="M4" s="2" t="s">
        <v>272</v>
      </c>
      <c r="N4" s="2" t="s">
        <v>272</v>
      </c>
      <c r="O4" s="2" t="s">
        <v>244</v>
      </c>
      <c r="P4" s="93" t="s">
        <v>244</v>
      </c>
      <c r="Q4" s="93" t="s">
        <v>244</v>
      </c>
      <c r="R4" s="93"/>
    </row>
    <row r="5" spans="1:18" x14ac:dyDescent="0.25">
      <c r="A5">
        <v>3</v>
      </c>
      <c r="B5" s="72" t="s">
        <v>265</v>
      </c>
      <c r="C5" s="72" t="s">
        <v>27</v>
      </c>
      <c r="D5" s="72" t="s">
        <v>42</v>
      </c>
      <c r="E5" s="21" t="s">
        <v>91</v>
      </c>
      <c r="F5" s="43">
        <v>26278</v>
      </c>
      <c r="G5" s="2">
        <f t="shared" ca="1" si="0"/>
        <v>54</v>
      </c>
      <c r="H5" s="2" t="s">
        <v>244</v>
      </c>
      <c r="I5" s="2" t="s">
        <v>244</v>
      </c>
      <c r="J5" s="2" t="s">
        <v>244</v>
      </c>
      <c r="K5" s="2" t="s">
        <v>244</v>
      </c>
      <c r="L5" s="2" t="s">
        <v>244</v>
      </c>
      <c r="M5" s="2" t="s">
        <v>244</v>
      </c>
      <c r="N5" s="2" t="s">
        <v>244</v>
      </c>
      <c r="O5" s="2" t="s">
        <v>272</v>
      </c>
      <c r="P5" s="93" t="s">
        <v>244</v>
      </c>
      <c r="Q5" s="93" t="s">
        <v>272</v>
      </c>
      <c r="R5" s="93"/>
    </row>
    <row r="6" spans="1:18" x14ac:dyDescent="0.25">
      <c r="A6">
        <v>4</v>
      </c>
      <c r="B6" s="72" t="s">
        <v>265</v>
      </c>
      <c r="C6" s="72" t="s">
        <v>286</v>
      </c>
      <c r="D6" s="72" t="s">
        <v>43</v>
      </c>
      <c r="E6" s="21" t="s">
        <v>92</v>
      </c>
      <c r="F6" s="43">
        <v>24280</v>
      </c>
      <c r="G6" s="2">
        <f t="shared" ca="1" si="0"/>
        <v>59</v>
      </c>
      <c r="H6" s="2" t="s">
        <v>273</v>
      </c>
      <c r="I6" s="2" t="s">
        <v>273</v>
      </c>
      <c r="J6" s="2" t="s">
        <v>273</v>
      </c>
      <c r="K6" s="2" t="s">
        <v>273</v>
      </c>
      <c r="L6" s="2" t="s">
        <v>273</v>
      </c>
      <c r="M6" s="2" t="s">
        <v>273</v>
      </c>
      <c r="N6" s="2" t="s">
        <v>272</v>
      </c>
      <c r="O6" s="2" t="s">
        <v>273</v>
      </c>
      <c r="P6" s="93" t="s">
        <v>273</v>
      </c>
      <c r="Q6" s="93" t="s">
        <v>273</v>
      </c>
      <c r="R6" s="93"/>
    </row>
    <row r="7" spans="1:18" x14ac:dyDescent="0.25">
      <c r="A7">
        <v>5</v>
      </c>
      <c r="B7" s="72" t="s">
        <v>265</v>
      </c>
      <c r="C7" s="72" t="s">
        <v>274</v>
      </c>
      <c r="D7" s="72" t="s">
        <v>44</v>
      </c>
      <c r="E7" s="21" t="s">
        <v>93</v>
      </c>
      <c r="F7" s="43">
        <v>24371</v>
      </c>
      <c r="G7" s="2">
        <f t="shared" ca="1" si="0"/>
        <v>59</v>
      </c>
      <c r="H7" s="2" t="s">
        <v>273</v>
      </c>
      <c r="I7" s="2" t="s">
        <v>272</v>
      </c>
      <c r="J7" s="2" t="s">
        <v>272</v>
      </c>
      <c r="K7" s="2" t="s">
        <v>272</v>
      </c>
      <c r="L7" s="2" t="s">
        <v>272</v>
      </c>
      <c r="M7" s="2" t="s">
        <v>272</v>
      </c>
      <c r="N7" s="2" t="s">
        <v>244</v>
      </c>
      <c r="O7" s="2" t="s">
        <v>244</v>
      </c>
      <c r="P7" s="93" t="s">
        <v>244</v>
      </c>
      <c r="Q7" s="93" t="s">
        <v>244</v>
      </c>
      <c r="R7" s="93"/>
    </row>
    <row r="8" spans="1:18" x14ac:dyDescent="0.25">
      <c r="A8">
        <v>6</v>
      </c>
      <c r="B8" s="72" t="s">
        <v>265</v>
      </c>
      <c r="C8" s="72" t="s">
        <v>286</v>
      </c>
      <c r="D8" s="72" t="s">
        <v>45</v>
      </c>
      <c r="E8" s="21" t="s">
        <v>94</v>
      </c>
      <c r="F8" s="43">
        <v>23590</v>
      </c>
      <c r="G8" s="2">
        <f t="shared" ca="1" si="0"/>
        <v>61</v>
      </c>
      <c r="H8" s="2" t="s">
        <v>273</v>
      </c>
      <c r="I8" s="2" t="s">
        <v>272</v>
      </c>
      <c r="J8" s="2" t="s">
        <v>272</v>
      </c>
      <c r="K8" s="2" t="s">
        <v>273</v>
      </c>
      <c r="L8" s="2" t="s">
        <v>273</v>
      </c>
      <c r="M8" s="2" t="s">
        <v>272</v>
      </c>
      <c r="N8" s="2" t="s">
        <v>244</v>
      </c>
      <c r="O8" s="2" t="s">
        <v>244</v>
      </c>
      <c r="P8" s="93" t="s">
        <v>272</v>
      </c>
      <c r="Q8" s="93" t="s">
        <v>244</v>
      </c>
      <c r="R8" s="93"/>
    </row>
    <row r="9" spans="1:18" x14ac:dyDescent="0.25">
      <c r="A9">
        <v>7</v>
      </c>
      <c r="B9" s="72" t="s">
        <v>265</v>
      </c>
      <c r="C9" s="72" t="s">
        <v>267</v>
      </c>
      <c r="D9" s="72" t="s">
        <v>46</v>
      </c>
      <c r="E9" s="21" t="s">
        <v>95</v>
      </c>
      <c r="F9" s="43">
        <v>26890</v>
      </c>
      <c r="G9" s="2">
        <f t="shared" ca="1" si="0"/>
        <v>52</v>
      </c>
      <c r="H9" s="2" t="s">
        <v>272</v>
      </c>
      <c r="I9" s="2" t="s">
        <v>273</v>
      </c>
      <c r="J9" s="2" t="s">
        <v>249</v>
      </c>
      <c r="K9" s="2" t="s">
        <v>273</v>
      </c>
      <c r="L9" s="2" t="s">
        <v>249</v>
      </c>
      <c r="M9" s="2" t="s">
        <v>273</v>
      </c>
      <c r="N9" s="2" t="s">
        <v>273</v>
      </c>
      <c r="O9" s="2" t="s">
        <v>273</v>
      </c>
      <c r="P9" s="93" t="s">
        <v>272</v>
      </c>
      <c r="Q9" s="93" t="s">
        <v>273</v>
      </c>
      <c r="R9" s="93"/>
    </row>
    <row r="10" spans="1:18" x14ac:dyDescent="0.25">
      <c r="A10">
        <v>8</v>
      </c>
      <c r="B10" s="72" t="s">
        <v>265</v>
      </c>
      <c r="C10" s="72" t="s">
        <v>284</v>
      </c>
      <c r="D10" s="72" t="s">
        <v>47</v>
      </c>
      <c r="E10" s="21" t="s">
        <v>96</v>
      </c>
      <c r="F10" s="43">
        <v>26505</v>
      </c>
      <c r="G10" s="2">
        <f t="shared" ca="1" si="0"/>
        <v>53</v>
      </c>
      <c r="H10" s="2" t="s">
        <v>273</v>
      </c>
      <c r="I10" s="2" t="s">
        <v>272</v>
      </c>
      <c r="J10" s="2" t="s">
        <v>272</v>
      </c>
      <c r="K10" s="2" t="s">
        <v>272</v>
      </c>
      <c r="L10" s="2" t="s">
        <v>273</v>
      </c>
      <c r="M10" s="2" t="s">
        <v>273</v>
      </c>
      <c r="N10" s="2" t="s">
        <v>272</v>
      </c>
      <c r="O10" s="2" t="s">
        <v>272</v>
      </c>
      <c r="P10" s="93" t="s">
        <v>272</v>
      </c>
      <c r="Q10" s="93" t="s">
        <v>273</v>
      </c>
      <c r="R10" s="93"/>
    </row>
    <row r="11" spans="1:18" x14ac:dyDescent="0.25">
      <c r="A11">
        <v>9</v>
      </c>
      <c r="B11" s="72" t="s">
        <v>265</v>
      </c>
      <c r="C11" s="72" t="s">
        <v>274</v>
      </c>
      <c r="D11" s="72" t="s">
        <v>48</v>
      </c>
      <c r="E11" s="21" t="s">
        <v>97</v>
      </c>
      <c r="F11" s="43">
        <v>24239</v>
      </c>
      <c r="G11" s="2">
        <f t="shared" ca="1" si="0"/>
        <v>60</v>
      </c>
      <c r="H11" s="2" t="s">
        <v>273</v>
      </c>
      <c r="I11" s="2" t="s">
        <v>244</v>
      </c>
      <c r="J11" s="2" t="s">
        <v>272</v>
      </c>
      <c r="K11" s="2" t="s">
        <v>244</v>
      </c>
      <c r="L11" s="2" t="s">
        <v>244</v>
      </c>
      <c r="M11" s="2" t="s">
        <v>272</v>
      </c>
      <c r="N11" s="2" t="s">
        <v>272</v>
      </c>
      <c r="O11" s="2" t="s">
        <v>244</v>
      </c>
      <c r="P11" s="93" t="s">
        <v>244</v>
      </c>
      <c r="Q11" s="93" t="s">
        <v>272</v>
      </c>
      <c r="R11" s="93"/>
    </row>
    <row r="12" spans="1:18" x14ac:dyDescent="0.25">
      <c r="A12">
        <v>10</v>
      </c>
      <c r="B12" s="72" t="s">
        <v>265</v>
      </c>
      <c r="C12" s="72" t="s">
        <v>22</v>
      </c>
      <c r="D12" s="72" t="s">
        <v>49</v>
      </c>
      <c r="E12" s="21" t="s">
        <v>98</v>
      </c>
      <c r="F12" s="43">
        <v>26299</v>
      </c>
      <c r="G12" s="2">
        <f t="shared" ca="1" si="0"/>
        <v>54</v>
      </c>
      <c r="H12" s="2" t="s">
        <v>273</v>
      </c>
      <c r="I12" s="2" t="s">
        <v>273</v>
      </c>
      <c r="J12" s="2" t="s">
        <v>272</v>
      </c>
      <c r="K12" s="2" t="s">
        <v>272</v>
      </c>
      <c r="L12" s="2" t="s">
        <v>273</v>
      </c>
      <c r="M12" s="2" t="s">
        <v>272</v>
      </c>
      <c r="N12" s="2" t="s">
        <v>272</v>
      </c>
      <c r="O12" s="2" t="s">
        <v>272</v>
      </c>
      <c r="P12" s="93" t="s">
        <v>273</v>
      </c>
      <c r="Q12" s="93" t="s">
        <v>273</v>
      </c>
      <c r="R12" s="93"/>
    </row>
    <row r="13" spans="1:18" x14ac:dyDescent="0.25">
      <c r="A13">
        <v>11</v>
      </c>
      <c r="B13" s="72" t="s">
        <v>265</v>
      </c>
      <c r="C13" s="72" t="s">
        <v>274</v>
      </c>
      <c r="D13" s="72" t="s">
        <v>50</v>
      </c>
      <c r="E13" s="21" t="s">
        <v>99</v>
      </c>
      <c r="F13" s="43">
        <v>23754</v>
      </c>
      <c r="G13" s="2">
        <f t="shared" ca="1" si="0"/>
        <v>61</v>
      </c>
      <c r="H13" s="2" t="s">
        <v>273</v>
      </c>
      <c r="I13" s="2" t="s">
        <v>272</v>
      </c>
      <c r="J13" s="2" t="s">
        <v>272</v>
      </c>
      <c r="K13" s="2" t="s">
        <v>272</v>
      </c>
      <c r="L13" s="2" t="s">
        <v>244</v>
      </c>
      <c r="M13" s="2" t="s">
        <v>244</v>
      </c>
      <c r="N13" s="2" t="s">
        <v>244</v>
      </c>
      <c r="O13" s="2" t="s">
        <v>244</v>
      </c>
      <c r="P13" s="93" t="s">
        <v>244</v>
      </c>
      <c r="Q13" s="93" t="s">
        <v>272</v>
      </c>
      <c r="R13" s="93"/>
    </row>
    <row r="14" spans="1:18" x14ac:dyDescent="0.25">
      <c r="A14">
        <v>12</v>
      </c>
      <c r="B14" s="72" t="s">
        <v>265</v>
      </c>
      <c r="C14" s="72" t="s">
        <v>27</v>
      </c>
      <c r="D14" s="72" t="s">
        <v>51</v>
      </c>
      <c r="E14" s="21" t="s">
        <v>100</v>
      </c>
      <c r="F14" s="43">
        <v>28658</v>
      </c>
      <c r="G14" s="2">
        <f t="shared" ca="1" si="0"/>
        <v>47</v>
      </c>
      <c r="H14" s="2" t="s">
        <v>272</v>
      </c>
      <c r="I14" s="2" t="s">
        <v>272</v>
      </c>
      <c r="J14" s="2" t="s">
        <v>272</v>
      </c>
      <c r="K14" s="2" t="s">
        <v>272</v>
      </c>
      <c r="L14" s="2" t="s">
        <v>272</v>
      </c>
      <c r="M14" s="2" t="s">
        <v>273</v>
      </c>
      <c r="N14" s="2" t="s">
        <v>273</v>
      </c>
      <c r="O14" s="2" t="s">
        <v>244</v>
      </c>
      <c r="P14" s="93" t="s">
        <v>244</v>
      </c>
      <c r="Q14" s="93" t="s">
        <v>273</v>
      </c>
      <c r="R14" s="93"/>
    </row>
    <row r="15" spans="1:18" x14ac:dyDescent="0.25">
      <c r="A15">
        <v>13</v>
      </c>
      <c r="B15" s="72" t="s">
        <v>265</v>
      </c>
      <c r="C15" s="72" t="s">
        <v>274</v>
      </c>
      <c r="D15" s="72" t="s">
        <v>52</v>
      </c>
      <c r="E15" s="21" t="s">
        <v>101</v>
      </c>
      <c r="F15" s="43">
        <v>29389</v>
      </c>
      <c r="G15" s="2">
        <f t="shared" ca="1" si="0"/>
        <v>45</v>
      </c>
      <c r="H15" s="2" t="s">
        <v>273</v>
      </c>
      <c r="I15" s="2" t="s">
        <v>273</v>
      </c>
      <c r="J15" s="2" t="s">
        <v>273</v>
      </c>
      <c r="K15" s="2" t="s">
        <v>273</v>
      </c>
      <c r="L15" s="2" t="s">
        <v>273</v>
      </c>
      <c r="M15" s="2" t="s">
        <v>273</v>
      </c>
      <c r="N15" s="2" t="s">
        <v>272</v>
      </c>
      <c r="O15" s="2" t="s">
        <v>272</v>
      </c>
      <c r="P15" s="93" t="s">
        <v>272</v>
      </c>
      <c r="Q15" s="93" t="s">
        <v>273</v>
      </c>
      <c r="R15" s="93"/>
    </row>
    <row r="16" spans="1:18" x14ac:dyDescent="0.25">
      <c r="A16">
        <v>14</v>
      </c>
      <c r="B16" s="72" t="s">
        <v>265</v>
      </c>
      <c r="C16" s="72" t="s">
        <v>274</v>
      </c>
      <c r="D16" s="37" t="s">
        <v>53</v>
      </c>
      <c r="E16" s="21" t="s">
        <v>102</v>
      </c>
      <c r="F16" s="43">
        <v>27451</v>
      </c>
      <c r="G16" s="2">
        <f t="shared" ca="1" si="0"/>
        <v>51</v>
      </c>
      <c r="H16" s="2" t="s">
        <v>244</v>
      </c>
      <c r="I16" s="2" t="s">
        <v>244</v>
      </c>
      <c r="J16" s="2" t="s">
        <v>244</v>
      </c>
      <c r="K16" s="2" t="s">
        <v>272</v>
      </c>
      <c r="L16" s="2" t="s">
        <v>272</v>
      </c>
      <c r="M16" s="2" t="s">
        <v>244</v>
      </c>
      <c r="N16" s="2" t="s">
        <v>272</v>
      </c>
      <c r="O16" s="2" t="s">
        <v>273</v>
      </c>
      <c r="P16" s="93" t="s">
        <v>272</v>
      </c>
      <c r="Q16" s="93" t="s">
        <v>273</v>
      </c>
      <c r="R16" s="93"/>
    </row>
    <row r="17" spans="1:18" x14ac:dyDescent="0.25">
      <c r="A17">
        <v>15</v>
      </c>
      <c r="B17" s="72" t="s">
        <v>265</v>
      </c>
      <c r="C17" s="72" t="s">
        <v>27</v>
      </c>
      <c r="D17" s="72" t="s">
        <v>54</v>
      </c>
      <c r="E17" s="21" t="s">
        <v>103</v>
      </c>
      <c r="F17" s="43">
        <v>30551</v>
      </c>
      <c r="G17" s="2">
        <f t="shared" ca="1" si="0"/>
        <v>42</v>
      </c>
      <c r="H17" s="2" t="s">
        <v>273</v>
      </c>
      <c r="I17" s="2" t="s">
        <v>273</v>
      </c>
      <c r="J17" s="2" t="s">
        <v>273</v>
      </c>
      <c r="K17" s="2" t="s">
        <v>273</v>
      </c>
      <c r="L17" s="2" t="s">
        <v>273</v>
      </c>
      <c r="M17" s="2" t="s">
        <v>273</v>
      </c>
      <c r="N17" s="2" t="s">
        <v>272</v>
      </c>
      <c r="O17" s="2" t="s">
        <v>273</v>
      </c>
      <c r="P17" s="93" t="s">
        <v>272</v>
      </c>
      <c r="Q17" s="93" t="s">
        <v>273</v>
      </c>
      <c r="R17" s="93"/>
    </row>
    <row r="18" spans="1:18" x14ac:dyDescent="0.25">
      <c r="A18">
        <v>16</v>
      </c>
      <c r="B18" s="72" t="s">
        <v>265</v>
      </c>
      <c r="C18" s="72" t="s">
        <v>27</v>
      </c>
      <c r="D18" s="72" t="s">
        <v>55</v>
      </c>
      <c r="E18" s="21" t="s">
        <v>104</v>
      </c>
      <c r="F18" s="43">
        <v>30168</v>
      </c>
      <c r="G18" s="2">
        <f t="shared" ca="1" si="0"/>
        <v>43</v>
      </c>
      <c r="H18" s="2" t="s">
        <v>244</v>
      </c>
      <c r="I18" s="2" t="s">
        <v>272</v>
      </c>
      <c r="J18" s="2" t="s">
        <v>244</v>
      </c>
      <c r="K18" s="2" t="s">
        <v>272</v>
      </c>
      <c r="L18" s="2" t="s">
        <v>272</v>
      </c>
      <c r="M18" s="2" t="s">
        <v>272</v>
      </c>
      <c r="N18" s="2" t="s">
        <v>244</v>
      </c>
      <c r="O18" s="2" t="s">
        <v>244</v>
      </c>
      <c r="P18" s="93" t="s">
        <v>244</v>
      </c>
      <c r="Q18" s="93" t="s">
        <v>272</v>
      </c>
      <c r="R18" s="93"/>
    </row>
    <row r="19" spans="1:18" x14ac:dyDescent="0.25">
      <c r="A19">
        <v>17</v>
      </c>
      <c r="B19" s="72" t="s">
        <v>265</v>
      </c>
      <c r="C19" s="72" t="s">
        <v>274</v>
      </c>
      <c r="D19" s="72" t="s">
        <v>56</v>
      </c>
      <c r="E19" s="21" t="s">
        <v>105</v>
      </c>
      <c r="F19" s="43">
        <v>26269</v>
      </c>
      <c r="G19" s="2">
        <f t="shared" ca="1" si="0"/>
        <v>54</v>
      </c>
      <c r="H19" s="2" t="s">
        <v>272</v>
      </c>
      <c r="I19" s="2" t="s">
        <v>272</v>
      </c>
      <c r="J19" s="2" t="s">
        <v>272</v>
      </c>
      <c r="K19" s="2" t="s">
        <v>272</v>
      </c>
      <c r="L19" s="2" t="s">
        <v>273</v>
      </c>
      <c r="M19" s="2" t="s">
        <v>273</v>
      </c>
      <c r="N19" s="2" t="s">
        <v>244</v>
      </c>
      <c r="O19" s="2" t="s">
        <v>272</v>
      </c>
      <c r="P19" s="93" t="s">
        <v>272</v>
      </c>
      <c r="Q19" s="93" t="s">
        <v>244</v>
      </c>
      <c r="R19" s="93"/>
    </row>
    <row r="20" spans="1:18" x14ac:dyDescent="0.25">
      <c r="A20">
        <v>18</v>
      </c>
      <c r="B20" s="72" t="s">
        <v>265</v>
      </c>
      <c r="C20" s="72" t="s">
        <v>29</v>
      </c>
      <c r="D20" s="72" t="s">
        <v>57</v>
      </c>
      <c r="E20" s="21" t="s">
        <v>106</v>
      </c>
      <c r="F20" s="43">
        <v>30214</v>
      </c>
      <c r="G20" s="2">
        <f t="shared" ca="1" si="0"/>
        <v>43</v>
      </c>
      <c r="H20" s="2" t="s">
        <v>272</v>
      </c>
      <c r="I20" s="2" t="s">
        <v>272</v>
      </c>
      <c r="J20" s="2" t="s">
        <v>272</v>
      </c>
      <c r="K20" s="2" t="s">
        <v>273</v>
      </c>
      <c r="L20" s="2" t="s">
        <v>272</v>
      </c>
      <c r="M20" s="2" t="s">
        <v>272</v>
      </c>
      <c r="N20" s="2" t="s">
        <v>244</v>
      </c>
      <c r="O20" s="2" t="s">
        <v>272</v>
      </c>
      <c r="P20" s="93" t="s">
        <v>249</v>
      </c>
      <c r="Q20" s="93" t="s">
        <v>272</v>
      </c>
      <c r="R20" s="93"/>
    </row>
    <row r="21" spans="1:18" x14ac:dyDescent="0.25">
      <c r="A21">
        <v>19</v>
      </c>
      <c r="B21" s="72" t="s">
        <v>265</v>
      </c>
      <c r="C21" s="72" t="s">
        <v>274</v>
      </c>
      <c r="D21" s="72" t="s">
        <v>58</v>
      </c>
      <c r="E21" s="21" t="s">
        <v>107</v>
      </c>
      <c r="F21" s="43">
        <v>29171</v>
      </c>
      <c r="G21" s="2">
        <f t="shared" ca="1" si="0"/>
        <v>46</v>
      </c>
      <c r="H21" s="2" t="s">
        <v>273</v>
      </c>
      <c r="I21" s="2" t="s">
        <v>272</v>
      </c>
      <c r="J21" s="2" t="s">
        <v>272</v>
      </c>
      <c r="K21" s="2" t="s">
        <v>273</v>
      </c>
      <c r="L21" s="2" t="s">
        <v>273</v>
      </c>
      <c r="M21" s="2" t="s">
        <v>272</v>
      </c>
      <c r="N21" s="2" t="s">
        <v>273</v>
      </c>
      <c r="O21" s="2" t="s">
        <v>273</v>
      </c>
      <c r="P21" s="93" t="s">
        <v>272</v>
      </c>
      <c r="Q21" s="93" t="s">
        <v>244</v>
      </c>
      <c r="R21" s="93"/>
    </row>
    <row r="22" spans="1:18" x14ac:dyDescent="0.25">
      <c r="A22">
        <v>20</v>
      </c>
      <c r="B22" s="72" t="s">
        <v>265</v>
      </c>
      <c r="C22" s="72" t="s">
        <v>27</v>
      </c>
      <c r="D22" s="72" t="s">
        <v>59</v>
      </c>
      <c r="E22" s="21" t="s">
        <v>108</v>
      </c>
      <c r="F22" s="43">
        <v>28984</v>
      </c>
      <c r="G22" s="2">
        <f t="shared" ca="1" si="0"/>
        <v>47</v>
      </c>
      <c r="H22" s="2" t="s">
        <v>273</v>
      </c>
      <c r="I22" s="2" t="s">
        <v>272</v>
      </c>
      <c r="J22" s="2" t="s">
        <v>272</v>
      </c>
      <c r="K22" s="2" t="s">
        <v>272</v>
      </c>
      <c r="L22" s="2" t="s">
        <v>273</v>
      </c>
      <c r="M22" s="2" t="s">
        <v>272</v>
      </c>
      <c r="N22" s="2" t="s">
        <v>272</v>
      </c>
      <c r="O22" s="2" t="s">
        <v>244</v>
      </c>
      <c r="P22" s="93" t="s">
        <v>249</v>
      </c>
      <c r="Q22" s="93" t="s">
        <v>244</v>
      </c>
      <c r="R22" s="93"/>
    </row>
    <row r="23" spans="1:18" x14ac:dyDescent="0.25">
      <c r="A23">
        <v>21</v>
      </c>
      <c r="B23" s="72" t="s">
        <v>265</v>
      </c>
      <c r="C23" s="72" t="s">
        <v>234</v>
      </c>
      <c r="D23" s="72" t="s">
        <v>60</v>
      </c>
      <c r="E23" s="21" t="s">
        <v>198</v>
      </c>
      <c r="F23" s="43">
        <v>27598</v>
      </c>
      <c r="G23" s="2">
        <f t="shared" ca="1" si="0"/>
        <v>50</v>
      </c>
      <c r="H23" s="2" t="s">
        <v>273</v>
      </c>
      <c r="I23" s="2" t="s">
        <v>272</v>
      </c>
      <c r="J23" s="2" t="s">
        <v>249</v>
      </c>
      <c r="K23" s="2" t="s">
        <v>249</v>
      </c>
      <c r="L23" s="2" t="s">
        <v>249</v>
      </c>
      <c r="M23" s="2" t="s">
        <v>272</v>
      </c>
      <c r="N23" s="2" t="s">
        <v>272</v>
      </c>
      <c r="O23" s="2" t="s">
        <v>272</v>
      </c>
      <c r="P23" s="93" t="s">
        <v>272</v>
      </c>
      <c r="Q23" s="93" t="s">
        <v>244</v>
      </c>
      <c r="R23" s="93"/>
    </row>
    <row r="24" spans="1:18" x14ac:dyDescent="0.25">
      <c r="A24">
        <v>22</v>
      </c>
      <c r="B24" s="72" t="s">
        <v>265</v>
      </c>
      <c r="C24" s="72" t="s">
        <v>284</v>
      </c>
      <c r="D24" s="72" t="s">
        <v>193</v>
      </c>
      <c r="E24" s="21" t="s">
        <v>194</v>
      </c>
      <c r="F24" s="43">
        <v>28537</v>
      </c>
      <c r="G24" s="2">
        <f t="shared" ca="1" si="0"/>
        <v>48</v>
      </c>
      <c r="H24" s="2" t="s">
        <v>297</v>
      </c>
      <c r="I24" s="2" t="s">
        <v>297</v>
      </c>
      <c r="J24" s="2" t="s">
        <v>297</v>
      </c>
      <c r="K24" s="2" t="s">
        <v>297</v>
      </c>
      <c r="L24" s="2" t="s">
        <v>297</v>
      </c>
      <c r="M24" s="2" t="s">
        <v>273</v>
      </c>
      <c r="N24" s="2" t="s">
        <v>249</v>
      </c>
      <c r="O24" s="2" t="s">
        <v>249</v>
      </c>
      <c r="P24" s="93" t="s">
        <v>249</v>
      </c>
      <c r="Q24" s="93" t="s">
        <v>273</v>
      </c>
      <c r="R24" s="93"/>
    </row>
    <row r="25" spans="1:18" x14ac:dyDescent="0.25">
      <c r="A25">
        <v>23</v>
      </c>
      <c r="B25" s="72" t="s">
        <v>265</v>
      </c>
      <c r="C25" s="72" t="s">
        <v>274</v>
      </c>
      <c r="D25" s="72" t="s">
        <v>245</v>
      </c>
      <c r="E25" s="21" t="s">
        <v>246</v>
      </c>
      <c r="F25" s="43">
        <v>31179</v>
      </c>
      <c r="G25" s="2">
        <f t="shared" ref="G25:G52" ca="1" si="1">DATEDIF(F25,TODAY(),"Y")</f>
        <v>41</v>
      </c>
      <c r="H25" s="2" t="s">
        <v>297</v>
      </c>
      <c r="I25" s="2" t="s">
        <v>297</v>
      </c>
      <c r="J25" s="2" t="s">
        <v>297</v>
      </c>
      <c r="K25" s="2" t="s">
        <v>297</v>
      </c>
      <c r="L25" s="2" t="s">
        <v>297</v>
      </c>
      <c r="M25" s="2" t="s">
        <v>297</v>
      </c>
      <c r="N25" s="2" t="s">
        <v>297</v>
      </c>
      <c r="O25" s="2" t="s">
        <v>273</v>
      </c>
      <c r="P25" s="93" t="s">
        <v>249</v>
      </c>
      <c r="Q25" s="93" t="s">
        <v>273</v>
      </c>
      <c r="R25" s="93"/>
    </row>
    <row r="26" spans="1:18" x14ac:dyDescent="0.25">
      <c r="A26">
        <v>24</v>
      </c>
      <c r="B26" s="72" t="s">
        <v>265</v>
      </c>
      <c r="C26" s="72" t="s">
        <v>284</v>
      </c>
      <c r="D26" s="72" t="s">
        <v>61</v>
      </c>
      <c r="E26" s="21" t="s">
        <v>109</v>
      </c>
      <c r="F26" s="43">
        <v>31512</v>
      </c>
      <c r="G26" s="2">
        <f t="shared" ca="1" si="1"/>
        <v>40</v>
      </c>
      <c r="H26" s="2" t="s">
        <v>272</v>
      </c>
      <c r="I26" s="2" t="s">
        <v>244</v>
      </c>
      <c r="J26" s="2" t="s">
        <v>244</v>
      </c>
      <c r="K26" s="2" t="s">
        <v>244</v>
      </c>
      <c r="L26" s="2" t="s">
        <v>244</v>
      </c>
      <c r="M26" s="2" t="s">
        <v>244</v>
      </c>
      <c r="N26" s="2" t="s">
        <v>272</v>
      </c>
      <c r="O26" s="2" t="s">
        <v>244</v>
      </c>
      <c r="P26" s="93" t="s">
        <v>244</v>
      </c>
      <c r="Q26" s="93" t="s">
        <v>244</v>
      </c>
      <c r="R26" s="93"/>
    </row>
    <row r="27" spans="1:18" x14ac:dyDescent="0.25">
      <c r="A27">
        <v>25</v>
      </c>
      <c r="B27" s="72" t="s">
        <v>265</v>
      </c>
      <c r="C27" s="72" t="s">
        <v>274</v>
      </c>
      <c r="D27" s="72" t="s">
        <v>62</v>
      </c>
      <c r="E27" s="21" t="s">
        <v>110</v>
      </c>
      <c r="F27" s="43">
        <v>28426</v>
      </c>
      <c r="G27" s="2">
        <f t="shared" ca="1" si="1"/>
        <v>48</v>
      </c>
      <c r="H27" s="2" t="s">
        <v>273</v>
      </c>
      <c r="I27" s="2" t="s">
        <v>272</v>
      </c>
      <c r="J27" s="2" t="s">
        <v>273</v>
      </c>
      <c r="K27" s="2" t="s">
        <v>273</v>
      </c>
      <c r="L27" s="2" t="s">
        <v>273</v>
      </c>
      <c r="M27" s="2" t="s">
        <v>272</v>
      </c>
      <c r="N27" s="2" t="s">
        <v>244</v>
      </c>
      <c r="O27" s="2" t="s">
        <v>273</v>
      </c>
      <c r="P27" s="93" t="s">
        <v>273</v>
      </c>
      <c r="Q27" s="93" t="s">
        <v>273</v>
      </c>
      <c r="R27" s="93"/>
    </row>
    <row r="28" spans="1:18" x14ac:dyDescent="0.25">
      <c r="A28">
        <v>26</v>
      </c>
      <c r="B28" s="72" t="s">
        <v>265</v>
      </c>
      <c r="C28" s="72" t="s">
        <v>234</v>
      </c>
      <c r="D28" s="72" t="s">
        <v>63</v>
      </c>
      <c r="E28" s="21" t="s">
        <v>111</v>
      </c>
      <c r="F28" s="43">
        <v>30696</v>
      </c>
      <c r="G28" s="2">
        <f t="shared" ca="1" si="1"/>
        <v>42</v>
      </c>
      <c r="H28" s="2" t="s">
        <v>244</v>
      </c>
      <c r="I28" s="2" t="s">
        <v>244</v>
      </c>
      <c r="J28" s="2" t="s">
        <v>244</v>
      </c>
      <c r="K28" s="2" t="s">
        <v>244</v>
      </c>
      <c r="L28" s="2" t="s">
        <v>244</v>
      </c>
      <c r="M28" s="2" t="s">
        <v>244</v>
      </c>
      <c r="N28" s="2" t="s">
        <v>244</v>
      </c>
      <c r="O28" s="2" t="s">
        <v>244</v>
      </c>
      <c r="P28" s="93" t="s">
        <v>244</v>
      </c>
      <c r="Q28" s="93" t="s">
        <v>272</v>
      </c>
      <c r="R28" s="93"/>
    </row>
    <row r="29" spans="1:18" x14ac:dyDescent="0.25">
      <c r="A29">
        <v>27</v>
      </c>
      <c r="B29" s="72" t="s">
        <v>265</v>
      </c>
      <c r="C29" s="72" t="s">
        <v>274</v>
      </c>
      <c r="D29" s="72" t="s">
        <v>64</v>
      </c>
      <c r="E29" s="21" t="s">
        <v>112</v>
      </c>
      <c r="F29" s="43">
        <v>29966</v>
      </c>
      <c r="G29" s="2">
        <f t="shared" ca="1" si="1"/>
        <v>44</v>
      </c>
      <c r="H29" s="2" t="s">
        <v>272</v>
      </c>
      <c r="I29" s="2" t="s">
        <v>272</v>
      </c>
      <c r="J29" s="2" t="s">
        <v>273</v>
      </c>
      <c r="K29" s="2" t="s">
        <v>273</v>
      </c>
      <c r="L29" s="2" t="s">
        <v>273</v>
      </c>
      <c r="M29" s="2" t="s">
        <v>273</v>
      </c>
      <c r="N29" s="49" t="s">
        <v>298</v>
      </c>
      <c r="O29" s="2" t="s">
        <v>272</v>
      </c>
      <c r="P29" s="93" t="s">
        <v>272</v>
      </c>
      <c r="Q29" s="93" t="s">
        <v>273</v>
      </c>
      <c r="R29" s="93"/>
    </row>
    <row r="30" spans="1:18" x14ac:dyDescent="0.25">
      <c r="A30">
        <v>28</v>
      </c>
      <c r="B30" s="72" t="s">
        <v>265</v>
      </c>
      <c r="C30" s="72" t="s">
        <v>267</v>
      </c>
      <c r="D30" s="72" t="s">
        <v>65</v>
      </c>
      <c r="E30" s="21" t="s">
        <v>113</v>
      </c>
      <c r="F30" s="43">
        <v>31712</v>
      </c>
      <c r="G30" s="2">
        <f t="shared" ca="1" si="1"/>
        <v>39</v>
      </c>
      <c r="H30" s="2" t="s">
        <v>272</v>
      </c>
      <c r="I30" s="2" t="s">
        <v>249</v>
      </c>
      <c r="J30" s="2" t="s">
        <v>249</v>
      </c>
      <c r="K30" s="2" t="s">
        <v>249</v>
      </c>
      <c r="L30" s="2" t="s">
        <v>249</v>
      </c>
      <c r="M30" s="2" t="s">
        <v>272</v>
      </c>
      <c r="N30" s="2" t="s">
        <v>244</v>
      </c>
      <c r="O30" s="2" t="s">
        <v>244</v>
      </c>
      <c r="P30" s="93" t="s">
        <v>244</v>
      </c>
      <c r="Q30" s="93" t="s">
        <v>244</v>
      </c>
      <c r="R30" s="93"/>
    </row>
    <row r="31" spans="1:18" x14ac:dyDescent="0.25">
      <c r="A31">
        <v>29</v>
      </c>
      <c r="B31" s="72" t="s">
        <v>265</v>
      </c>
      <c r="C31" s="72" t="s">
        <v>284</v>
      </c>
      <c r="D31" s="72" t="s">
        <v>66</v>
      </c>
      <c r="E31" s="21" t="s">
        <v>114</v>
      </c>
      <c r="F31" s="43">
        <v>26848</v>
      </c>
      <c r="G31" s="2">
        <f t="shared" ca="1" si="1"/>
        <v>52</v>
      </c>
      <c r="H31" s="2" t="s">
        <v>273</v>
      </c>
      <c r="I31" s="2" t="s">
        <v>272</v>
      </c>
      <c r="J31" s="2" t="s">
        <v>273</v>
      </c>
      <c r="K31" s="2" t="s">
        <v>272</v>
      </c>
      <c r="L31" s="2" t="s">
        <v>272</v>
      </c>
      <c r="M31" s="2" t="s">
        <v>272</v>
      </c>
      <c r="N31" s="2" t="s">
        <v>272</v>
      </c>
      <c r="O31" s="2" t="s">
        <v>244</v>
      </c>
      <c r="P31" s="93" t="s">
        <v>272</v>
      </c>
      <c r="Q31" s="93" t="s">
        <v>273</v>
      </c>
      <c r="R31" s="93"/>
    </row>
    <row r="32" spans="1:18" x14ac:dyDescent="0.25">
      <c r="A32">
        <v>30</v>
      </c>
      <c r="B32" s="72" t="s">
        <v>265</v>
      </c>
      <c r="C32" s="72" t="s">
        <v>27</v>
      </c>
      <c r="D32" s="72" t="s">
        <v>67</v>
      </c>
      <c r="E32" s="21" t="s">
        <v>115</v>
      </c>
      <c r="F32" s="43">
        <v>30719</v>
      </c>
      <c r="G32" s="2">
        <f t="shared" ca="1" si="1"/>
        <v>42</v>
      </c>
      <c r="H32" s="2" t="s">
        <v>272</v>
      </c>
      <c r="I32" s="2" t="s">
        <v>244</v>
      </c>
      <c r="J32" s="2" t="s">
        <v>244</v>
      </c>
      <c r="K32" s="2" t="s">
        <v>244</v>
      </c>
      <c r="L32" s="2" t="s">
        <v>272</v>
      </c>
      <c r="M32" s="2" t="s">
        <v>244</v>
      </c>
      <c r="N32" s="2" t="s">
        <v>244</v>
      </c>
      <c r="O32" s="2" t="s">
        <v>244</v>
      </c>
      <c r="P32" s="93" t="s">
        <v>244</v>
      </c>
      <c r="Q32" s="93" t="s">
        <v>244</v>
      </c>
      <c r="R32" s="93"/>
    </row>
    <row r="33" spans="1:18" x14ac:dyDescent="0.25">
      <c r="A33">
        <v>31</v>
      </c>
      <c r="B33" s="72" t="s">
        <v>265</v>
      </c>
      <c r="C33" s="72" t="s">
        <v>274</v>
      </c>
      <c r="D33" s="72" t="s">
        <v>68</v>
      </c>
      <c r="E33" s="21" t="s">
        <v>116</v>
      </c>
      <c r="F33" s="43">
        <v>26514</v>
      </c>
      <c r="G33" s="2">
        <f t="shared" ca="1" si="1"/>
        <v>53</v>
      </c>
      <c r="H33" s="2" t="s">
        <v>273</v>
      </c>
      <c r="I33" s="2" t="s">
        <v>273</v>
      </c>
      <c r="J33" s="2" t="s">
        <v>272</v>
      </c>
      <c r="K33" s="2" t="s">
        <v>273</v>
      </c>
      <c r="L33" s="2" t="s">
        <v>273</v>
      </c>
      <c r="M33" s="2" t="s">
        <v>273</v>
      </c>
      <c r="N33" s="2" t="s">
        <v>272</v>
      </c>
      <c r="O33" s="2" t="s">
        <v>273</v>
      </c>
      <c r="P33" s="93" t="s">
        <v>273</v>
      </c>
      <c r="Q33" s="93" t="s">
        <v>272</v>
      </c>
      <c r="R33" s="93"/>
    </row>
    <row r="34" spans="1:18" x14ac:dyDescent="0.25">
      <c r="A34">
        <v>32</v>
      </c>
      <c r="B34" s="72" t="s">
        <v>265</v>
      </c>
      <c r="C34" s="72" t="s">
        <v>267</v>
      </c>
      <c r="D34" s="72" t="s">
        <v>69</v>
      </c>
      <c r="E34" s="21" t="s">
        <v>117</v>
      </c>
      <c r="F34" s="43">
        <v>31140</v>
      </c>
      <c r="G34" s="2">
        <f t="shared" ca="1" si="1"/>
        <v>41</v>
      </c>
      <c r="H34" s="2" t="s">
        <v>273</v>
      </c>
      <c r="I34" s="2" t="s">
        <v>272</v>
      </c>
      <c r="J34" s="2" t="s">
        <v>273</v>
      </c>
      <c r="K34" s="2" t="s">
        <v>273</v>
      </c>
      <c r="L34" s="2" t="s">
        <v>273</v>
      </c>
      <c r="M34" s="2" t="s">
        <v>273</v>
      </c>
      <c r="N34" s="2" t="s">
        <v>272</v>
      </c>
      <c r="O34" s="2" t="s">
        <v>272</v>
      </c>
      <c r="P34" s="93" t="s">
        <v>272</v>
      </c>
      <c r="Q34" s="93" t="s">
        <v>273</v>
      </c>
      <c r="R34" s="93"/>
    </row>
    <row r="35" spans="1:18" x14ac:dyDescent="0.25">
      <c r="A35">
        <v>33</v>
      </c>
      <c r="B35" s="72" t="s">
        <v>265</v>
      </c>
      <c r="C35" s="72" t="s">
        <v>274</v>
      </c>
      <c r="D35" s="72" t="s">
        <v>70</v>
      </c>
      <c r="E35" s="21" t="s">
        <v>118</v>
      </c>
      <c r="F35" s="43">
        <v>24382</v>
      </c>
      <c r="G35" s="2">
        <f t="shared" ca="1" si="1"/>
        <v>59</v>
      </c>
      <c r="H35" s="2" t="s">
        <v>273</v>
      </c>
      <c r="I35" s="2" t="s">
        <v>273</v>
      </c>
      <c r="J35" s="2" t="s">
        <v>273</v>
      </c>
      <c r="K35" s="2" t="s">
        <v>273</v>
      </c>
      <c r="L35" s="2" t="s">
        <v>273</v>
      </c>
      <c r="M35" s="2" t="s">
        <v>273</v>
      </c>
      <c r="N35" s="2" t="s">
        <v>273</v>
      </c>
      <c r="O35" s="2" t="s">
        <v>272</v>
      </c>
      <c r="P35" s="93" t="s">
        <v>273</v>
      </c>
      <c r="Q35" s="93" t="s">
        <v>273</v>
      </c>
      <c r="R35" s="93"/>
    </row>
    <row r="36" spans="1:18" x14ac:dyDescent="0.25">
      <c r="A36">
        <v>34</v>
      </c>
      <c r="B36" s="72" t="s">
        <v>265</v>
      </c>
      <c r="C36" s="72" t="s">
        <v>274</v>
      </c>
      <c r="D36" s="72" t="s">
        <v>71</v>
      </c>
      <c r="E36" s="21" t="s">
        <v>119</v>
      </c>
      <c r="F36" s="43">
        <v>27226</v>
      </c>
      <c r="G36" s="2">
        <f t="shared" ca="1" si="1"/>
        <v>51</v>
      </c>
      <c r="H36" s="2" t="s">
        <v>273</v>
      </c>
      <c r="I36" s="2" t="s">
        <v>273</v>
      </c>
      <c r="J36" s="2" t="s">
        <v>273</v>
      </c>
      <c r="K36" s="2" t="s">
        <v>273</v>
      </c>
      <c r="L36" s="2" t="s">
        <v>249</v>
      </c>
      <c r="M36" s="2" t="s">
        <v>273</v>
      </c>
      <c r="N36" s="2" t="s">
        <v>273</v>
      </c>
      <c r="O36" s="2" t="s">
        <v>273</v>
      </c>
      <c r="P36" s="93" t="s">
        <v>273</v>
      </c>
      <c r="Q36" s="93" t="s">
        <v>273</v>
      </c>
      <c r="R36" s="93"/>
    </row>
    <row r="37" spans="1:18" x14ac:dyDescent="0.25">
      <c r="A37">
        <v>35</v>
      </c>
      <c r="B37" s="72" t="s">
        <v>265</v>
      </c>
      <c r="C37" s="72" t="s">
        <v>22</v>
      </c>
      <c r="D37" s="72" t="s">
        <v>72</v>
      </c>
      <c r="E37" s="21" t="s">
        <v>120</v>
      </c>
      <c r="F37" s="43">
        <v>27828</v>
      </c>
      <c r="G37" s="2">
        <f t="shared" ca="1" si="1"/>
        <v>50</v>
      </c>
      <c r="H37" s="2" t="s">
        <v>273</v>
      </c>
      <c r="I37" s="2" t="s">
        <v>272</v>
      </c>
      <c r="J37" s="2" t="s">
        <v>273</v>
      </c>
      <c r="K37" s="2" t="s">
        <v>273</v>
      </c>
      <c r="L37" s="2" t="s">
        <v>244</v>
      </c>
      <c r="M37" s="2" t="s">
        <v>244</v>
      </c>
      <c r="N37" s="2" t="s">
        <v>244</v>
      </c>
      <c r="O37" s="2" t="s">
        <v>244</v>
      </c>
      <c r="P37" s="93" t="s">
        <v>244</v>
      </c>
      <c r="Q37" s="93" t="s">
        <v>273</v>
      </c>
      <c r="R37" s="93"/>
    </row>
    <row r="38" spans="1:18" x14ac:dyDescent="0.25">
      <c r="A38">
        <v>36</v>
      </c>
      <c r="B38" s="72" t="s">
        <v>265</v>
      </c>
      <c r="C38" s="72" t="s">
        <v>274</v>
      </c>
      <c r="D38" s="72" t="s">
        <v>73</v>
      </c>
      <c r="E38" s="21" t="s">
        <v>121</v>
      </c>
      <c r="F38" s="43">
        <v>28157</v>
      </c>
      <c r="G38" s="2">
        <f t="shared" ca="1" si="1"/>
        <v>49</v>
      </c>
      <c r="H38" s="2" t="s">
        <v>273</v>
      </c>
      <c r="I38" s="2" t="s">
        <v>272</v>
      </c>
      <c r="J38" s="2" t="s">
        <v>272</v>
      </c>
      <c r="K38" s="2" t="s">
        <v>272</v>
      </c>
      <c r="L38" s="2" t="s">
        <v>272</v>
      </c>
      <c r="M38" s="2" t="s">
        <v>272</v>
      </c>
      <c r="N38" s="2" t="s">
        <v>244</v>
      </c>
      <c r="O38" s="2" t="s">
        <v>244</v>
      </c>
      <c r="P38" s="93" t="s">
        <v>244</v>
      </c>
      <c r="Q38" s="93" t="s">
        <v>273</v>
      </c>
      <c r="R38" s="93"/>
    </row>
    <row r="39" spans="1:18" x14ac:dyDescent="0.25">
      <c r="A39">
        <v>37</v>
      </c>
      <c r="B39" s="72" t="s">
        <v>265</v>
      </c>
      <c r="C39" s="72" t="s">
        <v>29</v>
      </c>
      <c r="D39" s="72" t="s">
        <v>74</v>
      </c>
      <c r="E39" s="21" t="s">
        <v>122</v>
      </c>
      <c r="F39" s="43">
        <v>30586</v>
      </c>
      <c r="G39" s="2">
        <f t="shared" ca="1" si="1"/>
        <v>42</v>
      </c>
      <c r="H39" s="2" t="s">
        <v>272</v>
      </c>
      <c r="I39" s="2" t="s">
        <v>272</v>
      </c>
      <c r="J39" s="2" t="s">
        <v>273</v>
      </c>
      <c r="K39" s="2" t="s">
        <v>272</v>
      </c>
      <c r="L39" s="2" t="s">
        <v>272</v>
      </c>
      <c r="M39" s="2" t="s">
        <v>272</v>
      </c>
      <c r="N39" s="2" t="s">
        <v>273</v>
      </c>
      <c r="O39" s="2" t="s">
        <v>244</v>
      </c>
      <c r="P39" s="93" t="s">
        <v>273</v>
      </c>
      <c r="Q39" s="93" t="s">
        <v>244</v>
      </c>
      <c r="R39" s="93"/>
    </row>
    <row r="40" spans="1:18" x14ac:dyDescent="0.25">
      <c r="A40">
        <v>38</v>
      </c>
      <c r="B40" s="72" t="s">
        <v>265</v>
      </c>
      <c r="C40" s="72" t="s">
        <v>274</v>
      </c>
      <c r="D40" s="72" t="s">
        <v>75</v>
      </c>
      <c r="E40" s="21" t="s">
        <v>123</v>
      </c>
      <c r="F40" s="43">
        <v>31636</v>
      </c>
      <c r="G40" s="2">
        <f t="shared" ca="1" si="1"/>
        <v>39</v>
      </c>
      <c r="H40" s="2" t="s">
        <v>244</v>
      </c>
      <c r="I40" s="2" t="s">
        <v>244</v>
      </c>
      <c r="J40" s="2" t="s">
        <v>273</v>
      </c>
      <c r="K40" s="2" t="s">
        <v>249</v>
      </c>
      <c r="L40" s="2" t="s">
        <v>249</v>
      </c>
      <c r="M40" s="2" t="s">
        <v>272</v>
      </c>
      <c r="N40" s="2" t="s">
        <v>244</v>
      </c>
      <c r="O40" s="2" t="s">
        <v>244</v>
      </c>
      <c r="P40" s="93" t="s">
        <v>272</v>
      </c>
      <c r="Q40" s="93" t="s">
        <v>272</v>
      </c>
      <c r="R40" s="93"/>
    </row>
    <row r="41" spans="1:18" x14ac:dyDescent="0.25">
      <c r="A41">
        <v>39</v>
      </c>
      <c r="B41" s="72" t="s">
        <v>265</v>
      </c>
      <c r="C41" s="72" t="s">
        <v>274</v>
      </c>
      <c r="D41" s="72" t="s">
        <v>76</v>
      </c>
      <c r="E41" s="21" t="s">
        <v>124</v>
      </c>
      <c r="F41" s="43">
        <v>28687</v>
      </c>
      <c r="G41" s="2">
        <f t="shared" ca="1" si="1"/>
        <v>47</v>
      </c>
      <c r="H41" s="2" t="s">
        <v>273</v>
      </c>
      <c r="I41" s="2" t="s">
        <v>272</v>
      </c>
      <c r="J41" s="2" t="s">
        <v>273</v>
      </c>
      <c r="K41" s="2" t="s">
        <v>272</v>
      </c>
      <c r="L41" s="2" t="s">
        <v>273</v>
      </c>
      <c r="M41" s="2" t="s">
        <v>272</v>
      </c>
      <c r="N41" s="2" t="s">
        <v>244</v>
      </c>
      <c r="O41" s="2" t="s">
        <v>244</v>
      </c>
      <c r="P41" s="93" t="s">
        <v>244</v>
      </c>
      <c r="Q41" s="93" t="s">
        <v>244</v>
      </c>
      <c r="R41" s="93"/>
    </row>
    <row r="42" spans="1:18" x14ac:dyDescent="0.25">
      <c r="A42">
        <v>40</v>
      </c>
      <c r="B42" s="72" t="s">
        <v>265</v>
      </c>
      <c r="C42" s="72" t="s">
        <v>235</v>
      </c>
      <c r="D42" s="72" t="s">
        <v>77</v>
      </c>
      <c r="E42" s="21" t="s">
        <v>125</v>
      </c>
      <c r="F42" s="43">
        <v>31939</v>
      </c>
      <c r="G42" s="2">
        <f t="shared" ca="1" si="1"/>
        <v>39</v>
      </c>
      <c r="H42" s="2" t="s">
        <v>272</v>
      </c>
      <c r="I42" s="2" t="s">
        <v>249</v>
      </c>
      <c r="J42" s="2" t="s">
        <v>249</v>
      </c>
      <c r="K42" s="2" t="s">
        <v>272</v>
      </c>
      <c r="L42" s="2" t="s">
        <v>272</v>
      </c>
      <c r="M42" s="2" t="s">
        <v>273</v>
      </c>
      <c r="N42" s="2" t="s">
        <v>272</v>
      </c>
      <c r="O42" s="2" t="s">
        <v>249</v>
      </c>
      <c r="P42" s="93" t="s">
        <v>272</v>
      </c>
      <c r="Q42" s="93" t="s">
        <v>273</v>
      </c>
      <c r="R42" s="93"/>
    </row>
    <row r="43" spans="1:18" x14ac:dyDescent="0.25">
      <c r="A43">
        <v>41</v>
      </c>
      <c r="B43" s="72" t="s">
        <v>265</v>
      </c>
      <c r="C43" s="72" t="s">
        <v>274</v>
      </c>
      <c r="D43" s="72" t="s">
        <v>78</v>
      </c>
      <c r="E43" s="21" t="s">
        <v>126</v>
      </c>
      <c r="F43" s="43">
        <v>31828</v>
      </c>
      <c r="G43" s="2">
        <f t="shared" ca="1" si="1"/>
        <v>39</v>
      </c>
      <c r="H43" s="2" t="s">
        <v>272</v>
      </c>
      <c r="I43" s="2" t="s">
        <v>272</v>
      </c>
      <c r="J43" s="2" t="s">
        <v>272</v>
      </c>
      <c r="K43" s="2" t="s">
        <v>272</v>
      </c>
      <c r="L43" s="2" t="s">
        <v>249</v>
      </c>
      <c r="M43" s="2" t="s">
        <v>273</v>
      </c>
      <c r="N43" s="2" t="s">
        <v>272</v>
      </c>
      <c r="O43" s="2" t="s">
        <v>244</v>
      </c>
      <c r="P43" s="93" t="s">
        <v>244</v>
      </c>
      <c r="Q43" s="93" t="s">
        <v>273</v>
      </c>
      <c r="R43" s="93"/>
    </row>
    <row r="44" spans="1:18" x14ac:dyDescent="0.25">
      <c r="A44">
        <v>42</v>
      </c>
      <c r="B44" s="72" t="s">
        <v>265</v>
      </c>
      <c r="C44" s="72" t="s">
        <v>274</v>
      </c>
      <c r="D44" s="72" t="s">
        <v>79</v>
      </c>
      <c r="E44" s="20" t="s">
        <v>127</v>
      </c>
      <c r="F44" s="43">
        <v>23666</v>
      </c>
      <c r="G44" s="2">
        <f t="shared" ca="1" si="1"/>
        <v>61</v>
      </c>
      <c r="H44" s="2" t="s">
        <v>244</v>
      </c>
      <c r="I44" s="2" t="s">
        <v>244</v>
      </c>
      <c r="J44" s="2" t="s">
        <v>244</v>
      </c>
      <c r="K44" s="2" t="s">
        <v>272</v>
      </c>
      <c r="L44" s="2" t="s">
        <v>272</v>
      </c>
      <c r="M44" s="2" t="s">
        <v>273</v>
      </c>
      <c r="N44" s="2" t="s">
        <v>272</v>
      </c>
      <c r="O44" s="2" t="s">
        <v>272</v>
      </c>
      <c r="P44" s="93" t="s">
        <v>244</v>
      </c>
      <c r="Q44" s="93" t="s">
        <v>273</v>
      </c>
      <c r="R44" s="93"/>
    </row>
    <row r="45" spans="1:18" x14ac:dyDescent="0.25">
      <c r="A45">
        <v>43</v>
      </c>
      <c r="B45" s="72" t="s">
        <v>265</v>
      </c>
      <c r="C45" s="72" t="s">
        <v>234</v>
      </c>
      <c r="D45" s="72" t="s">
        <v>80</v>
      </c>
      <c r="E45" s="21" t="s">
        <v>128</v>
      </c>
      <c r="F45" s="43">
        <v>23653</v>
      </c>
      <c r="G45" s="2">
        <f t="shared" ca="1" si="1"/>
        <v>61</v>
      </c>
      <c r="H45" s="2" t="s">
        <v>272</v>
      </c>
      <c r="I45" s="2" t="s">
        <v>272</v>
      </c>
      <c r="J45" s="2" t="s">
        <v>249</v>
      </c>
      <c r="K45" s="2" t="s">
        <v>272</v>
      </c>
      <c r="L45" s="2" t="s">
        <v>273</v>
      </c>
      <c r="M45" s="2" t="s">
        <v>273</v>
      </c>
      <c r="N45" s="2" t="s">
        <v>244</v>
      </c>
      <c r="O45" s="2" t="s">
        <v>244</v>
      </c>
      <c r="P45" s="93" t="s">
        <v>249</v>
      </c>
      <c r="Q45" s="93" t="s">
        <v>244</v>
      </c>
      <c r="R45" s="93"/>
    </row>
    <row r="46" spans="1:18" x14ac:dyDescent="0.25">
      <c r="A46">
        <v>44</v>
      </c>
      <c r="B46" s="72" t="s">
        <v>265</v>
      </c>
      <c r="C46" s="72" t="s">
        <v>234</v>
      </c>
      <c r="D46" s="72" t="s">
        <v>81</v>
      </c>
      <c r="E46" s="21" t="s">
        <v>129</v>
      </c>
      <c r="F46" s="43">
        <v>29528</v>
      </c>
      <c r="G46" s="2">
        <f t="shared" ca="1" si="1"/>
        <v>45</v>
      </c>
      <c r="H46" s="2" t="s">
        <v>273</v>
      </c>
      <c r="I46" s="2" t="s">
        <v>273</v>
      </c>
      <c r="J46" s="2" t="s">
        <v>249</v>
      </c>
      <c r="K46" s="2" t="s">
        <v>249</v>
      </c>
      <c r="L46" s="2" t="s">
        <v>249</v>
      </c>
      <c r="M46" s="2" t="s">
        <v>273</v>
      </c>
      <c r="N46" s="2" t="s">
        <v>272</v>
      </c>
      <c r="O46" s="2" t="s">
        <v>272</v>
      </c>
      <c r="P46" s="93" t="s">
        <v>272</v>
      </c>
      <c r="Q46" s="93" t="s">
        <v>273</v>
      </c>
      <c r="R46" s="93"/>
    </row>
    <row r="47" spans="1:18" x14ac:dyDescent="0.25">
      <c r="A47">
        <v>45</v>
      </c>
      <c r="B47" s="72" t="s">
        <v>265</v>
      </c>
      <c r="C47" s="72" t="s">
        <v>274</v>
      </c>
      <c r="D47" s="72" t="s">
        <v>82</v>
      </c>
      <c r="E47" s="21" t="s">
        <v>130</v>
      </c>
      <c r="F47" s="43">
        <v>28813</v>
      </c>
      <c r="G47" s="2">
        <f t="shared" ca="1" si="1"/>
        <v>47</v>
      </c>
      <c r="H47" s="2" t="s">
        <v>273</v>
      </c>
      <c r="I47" s="2" t="s">
        <v>273</v>
      </c>
      <c r="J47" s="2" t="s">
        <v>249</v>
      </c>
      <c r="K47" s="2" t="s">
        <v>249</v>
      </c>
      <c r="L47" s="2" t="s">
        <v>273</v>
      </c>
      <c r="M47" s="2" t="s">
        <v>273</v>
      </c>
      <c r="N47" s="2" t="s">
        <v>273</v>
      </c>
      <c r="O47" s="2" t="s">
        <v>272</v>
      </c>
      <c r="P47" s="93" t="s">
        <v>273</v>
      </c>
      <c r="Q47" s="93" t="s">
        <v>273</v>
      </c>
      <c r="R47" s="93"/>
    </row>
    <row r="48" spans="1:18" x14ac:dyDescent="0.25">
      <c r="A48">
        <v>46</v>
      </c>
      <c r="B48" s="72" t="s">
        <v>265</v>
      </c>
      <c r="C48" s="72" t="s">
        <v>286</v>
      </c>
      <c r="D48" s="72" t="s">
        <v>83</v>
      </c>
      <c r="E48" s="21" t="s">
        <v>131</v>
      </c>
      <c r="F48" s="43">
        <v>32138</v>
      </c>
      <c r="G48" s="2">
        <f t="shared" ca="1" si="1"/>
        <v>38</v>
      </c>
      <c r="H48" s="2" t="s">
        <v>273</v>
      </c>
      <c r="I48" s="2" t="s">
        <v>272</v>
      </c>
      <c r="J48" s="2" t="s">
        <v>273</v>
      </c>
      <c r="K48" s="2" t="s">
        <v>273</v>
      </c>
      <c r="L48" s="2" t="s">
        <v>273</v>
      </c>
      <c r="M48" s="2" t="s">
        <v>272</v>
      </c>
      <c r="N48" s="2" t="s">
        <v>244</v>
      </c>
      <c r="O48" s="2" t="s">
        <v>244</v>
      </c>
      <c r="P48" s="93" t="s">
        <v>273</v>
      </c>
      <c r="Q48" s="93" t="s">
        <v>273</v>
      </c>
      <c r="R48" s="93"/>
    </row>
    <row r="49" spans="1:18" x14ac:dyDescent="0.25">
      <c r="A49">
        <v>47</v>
      </c>
      <c r="B49" s="72" t="s">
        <v>265</v>
      </c>
      <c r="C49" s="72" t="s">
        <v>274</v>
      </c>
      <c r="D49" s="72" t="s">
        <v>84</v>
      </c>
      <c r="E49" s="21" t="s">
        <v>132</v>
      </c>
      <c r="F49" s="43">
        <v>31726</v>
      </c>
      <c r="G49" s="2">
        <f t="shared" ca="1" si="1"/>
        <v>39</v>
      </c>
      <c r="H49" s="2" t="s">
        <v>273</v>
      </c>
      <c r="I49" s="2" t="s">
        <v>273</v>
      </c>
      <c r="J49" s="2" t="s">
        <v>273</v>
      </c>
      <c r="K49" s="2" t="s">
        <v>273</v>
      </c>
      <c r="L49" s="2" t="s">
        <v>272</v>
      </c>
      <c r="M49" s="2" t="s">
        <v>273</v>
      </c>
      <c r="N49" s="2" t="s">
        <v>244</v>
      </c>
      <c r="O49" s="2" t="s">
        <v>272</v>
      </c>
      <c r="P49" s="93" t="s">
        <v>244</v>
      </c>
      <c r="Q49" s="93" t="s">
        <v>273</v>
      </c>
      <c r="R49" s="93"/>
    </row>
    <row r="50" spans="1:18" x14ac:dyDescent="0.25">
      <c r="A50">
        <v>48</v>
      </c>
      <c r="B50" s="72" t="s">
        <v>265</v>
      </c>
      <c r="C50" s="72" t="s">
        <v>274</v>
      </c>
      <c r="D50" s="72" t="s">
        <v>85</v>
      </c>
      <c r="E50" s="21" t="s">
        <v>133</v>
      </c>
      <c r="F50" s="43">
        <v>24908</v>
      </c>
      <c r="G50" s="2">
        <f t="shared" ca="1" si="1"/>
        <v>58</v>
      </c>
      <c r="H50" s="2" t="s">
        <v>273</v>
      </c>
      <c r="I50" s="2" t="s">
        <v>249</v>
      </c>
      <c r="J50" s="2" t="s">
        <v>249</v>
      </c>
      <c r="K50" s="2" t="s">
        <v>273</v>
      </c>
      <c r="L50" s="2" t="s">
        <v>249</v>
      </c>
      <c r="M50" s="2" t="s">
        <v>273</v>
      </c>
      <c r="N50" s="2" t="s">
        <v>249</v>
      </c>
      <c r="O50" s="2" t="s">
        <v>249</v>
      </c>
      <c r="P50" s="93" t="s">
        <v>249</v>
      </c>
      <c r="Q50" s="93" t="s">
        <v>249</v>
      </c>
      <c r="R50" s="93"/>
    </row>
    <row r="51" spans="1:18" x14ac:dyDescent="0.25">
      <c r="A51">
        <v>49</v>
      </c>
      <c r="B51" s="72" t="s">
        <v>265</v>
      </c>
      <c r="C51" s="72" t="s">
        <v>274</v>
      </c>
      <c r="D51" s="72" t="s">
        <v>215</v>
      </c>
      <c r="E51" s="21" t="s">
        <v>216</v>
      </c>
      <c r="F51" s="43">
        <v>30593</v>
      </c>
      <c r="G51" s="2">
        <f t="shared" ca="1" si="1"/>
        <v>42</v>
      </c>
      <c r="H51" s="2" t="s">
        <v>297</v>
      </c>
      <c r="I51" s="2" t="s">
        <v>297</v>
      </c>
      <c r="J51" s="2" t="s">
        <v>297</v>
      </c>
      <c r="K51" s="2" t="s">
        <v>297</v>
      </c>
      <c r="L51" s="2" t="s">
        <v>297</v>
      </c>
      <c r="M51" s="2" t="s">
        <v>297</v>
      </c>
      <c r="N51" s="2" t="s">
        <v>244</v>
      </c>
      <c r="O51" s="2" t="s">
        <v>244</v>
      </c>
      <c r="P51" s="93" t="s">
        <v>273</v>
      </c>
      <c r="Q51" s="93" t="s">
        <v>272</v>
      </c>
      <c r="R51" s="93"/>
    </row>
    <row r="52" spans="1:18" x14ac:dyDescent="0.25">
      <c r="A52">
        <v>50</v>
      </c>
      <c r="B52" s="72" t="s">
        <v>265</v>
      </c>
      <c r="C52" s="72" t="s">
        <v>274</v>
      </c>
      <c r="D52" s="72" t="s">
        <v>242</v>
      </c>
      <c r="E52" s="21" t="s">
        <v>243</v>
      </c>
      <c r="F52" s="43">
        <v>31179</v>
      </c>
      <c r="G52" s="2">
        <f t="shared" ca="1" si="1"/>
        <v>41</v>
      </c>
      <c r="H52" s="2" t="s">
        <v>297</v>
      </c>
      <c r="I52" s="2" t="s">
        <v>297</v>
      </c>
      <c r="J52" s="2" t="s">
        <v>297</v>
      </c>
      <c r="K52" s="2" t="s">
        <v>297</v>
      </c>
      <c r="L52" s="2" t="s">
        <v>297</v>
      </c>
      <c r="M52" s="2" t="s">
        <v>297</v>
      </c>
      <c r="N52" s="2" t="s">
        <v>297</v>
      </c>
      <c r="O52" s="2" t="s">
        <v>273</v>
      </c>
      <c r="P52" s="93" t="s">
        <v>272</v>
      </c>
      <c r="Q52" s="93" t="s">
        <v>273</v>
      </c>
      <c r="R52" s="93"/>
    </row>
    <row r="53" spans="1:18" x14ac:dyDescent="0.25">
      <c r="A53">
        <v>51</v>
      </c>
      <c r="B53" s="72" t="s">
        <v>265</v>
      </c>
      <c r="C53" s="72" t="s">
        <v>286</v>
      </c>
      <c r="D53" s="72" t="s">
        <v>86</v>
      </c>
      <c r="E53" s="21" t="s">
        <v>135</v>
      </c>
      <c r="F53" s="43">
        <v>30977</v>
      </c>
      <c r="G53" s="2">
        <f t="shared" ref="G53:G80" ca="1" si="2">DATEDIF(F53,TODAY(),"Y")</f>
        <v>41</v>
      </c>
      <c r="H53" s="2" t="s">
        <v>272</v>
      </c>
      <c r="I53" s="2" t="s">
        <v>244</v>
      </c>
      <c r="J53" s="2" t="s">
        <v>244</v>
      </c>
      <c r="K53" s="2" t="s">
        <v>244</v>
      </c>
      <c r="L53" s="2" t="s">
        <v>244</v>
      </c>
      <c r="M53" s="2" t="s">
        <v>244</v>
      </c>
      <c r="N53" s="2" t="s">
        <v>272</v>
      </c>
      <c r="O53" s="2" t="s">
        <v>244</v>
      </c>
      <c r="P53" s="93" t="s">
        <v>249</v>
      </c>
      <c r="Q53" s="93" t="s">
        <v>244</v>
      </c>
      <c r="R53" s="93"/>
    </row>
    <row r="54" spans="1:18" x14ac:dyDescent="0.25">
      <c r="A54">
        <v>52</v>
      </c>
      <c r="B54" s="72" t="s">
        <v>265</v>
      </c>
      <c r="C54" s="72" t="s">
        <v>27</v>
      </c>
      <c r="D54" s="72" t="s">
        <v>87</v>
      </c>
      <c r="E54" s="21" t="s">
        <v>134</v>
      </c>
      <c r="F54" s="43">
        <v>32058</v>
      </c>
      <c r="G54" s="2">
        <f t="shared" ca="1" si="2"/>
        <v>38</v>
      </c>
      <c r="H54" s="2" t="s">
        <v>272</v>
      </c>
      <c r="I54" s="2" t="s">
        <v>273</v>
      </c>
      <c r="J54" s="2" t="s">
        <v>273</v>
      </c>
      <c r="K54" s="2" t="s">
        <v>273</v>
      </c>
      <c r="L54" s="2" t="s">
        <v>272</v>
      </c>
      <c r="M54" s="2" t="s">
        <v>272</v>
      </c>
      <c r="N54" s="2" t="s">
        <v>244</v>
      </c>
      <c r="O54" s="2" t="s">
        <v>244</v>
      </c>
      <c r="P54" s="93" t="s">
        <v>244</v>
      </c>
      <c r="Q54" s="93" t="s">
        <v>244</v>
      </c>
      <c r="R54" s="93"/>
    </row>
    <row r="55" spans="1:18" x14ac:dyDescent="0.25">
      <c r="A55">
        <v>53</v>
      </c>
      <c r="B55" s="72" t="s">
        <v>265</v>
      </c>
      <c r="C55" s="72" t="s">
        <v>168</v>
      </c>
      <c r="D55" s="72" t="s">
        <v>88</v>
      </c>
      <c r="E55" s="21" t="s">
        <v>136</v>
      </c>
      <c r="F55" s="43">
        <v>30559</v>
      </c>
      <c r="G55" s="2">
        <f t="shared" ca="1" si="2"/>
        <v>42</v>
      </c>
      <c r="H55" s="2" t="s">
        <v>244</v>
      </c>
      <c r="I55" s="2" t="s">
        <v>244</v>
      </c>
      <c r="J55" s="2" t="s">
        <v>249</v>
      </c>
      <c r="K55" s="2" t="s">
        <v>249</v>
      </c>
      <c r="L55" s="2" t="s">
        <v>244</v>
      </c>
      <c r="M55" s="2" t="s">
        <v>244</v>
      </c>
      <c r="N55" s="2" t="s">
        <v>244</v>
      </c>
      <c r="O55" s="2" t="s">
        <v>244</v>
      </c>
      <c r="P55" s="93" t="s">
        <v>249</v>
      </c>
      <c r="Q55" s="93" t="s">
        <v>244</v>
      </c>
      <c r="R55" s="93"/>
    </row>
    <row r="56" spans="1:18" x14ac:dyDescent="0.25">
      <c r="A56">
        <v>54</v>
      </c>
      <c r="B56" s="72" t="s">
        <v>265</v>
      </c>
      <c r="C56" s="72" t="s">
        <v>274</v>
      </c>
      <c r="D56" s="72" t="s">
        <v>89</v>
      </c>
      <c r="E56" s="21" t="s">
        <v>137</v>
      </c>
      <c r="F56" s="43">
        <v>31858</v>
      </c>
      <c r="G56" s="2">
        <f t="shared" ca="1" si="2"/>
        <v>39</v>
      </c>
      <c r="H56" s="2" t="s">
        <v>272</v>
      </c>
      <c r="I56" s="2" t="s">
        <v>272</v>
      </c>
      <c r="J56" s="2" t="s">
        <v>272</v>
      </c>
      <c r="K56" s="2" t="s">
        <v>272</v>
      </c>
      <c r="L56" s="2" t="s">
        <v>249</v>
      </c>
      <c r="M56" s="2" t="s">
        <v>272</v>
      </c>
      <c r="N56" s="2" t="s">
        <v>244</v>
      </c>
      <c r="O56" s="2" t="s">
        <v>244</v>
      </c>
      <c r="P56" s="93" t="s">
        <v>244</v>
      </c>
      <c r="Q56" s="93" t="s">
        <v>273</v>
      </c>
      <c r="R56" s="93"/>
    </row>
    <row r="57" spans="1:18" x14ac:dyDescent="0.25">
      <c r="A57">
        <v>55</v>
      </c>
      <c r="B57" s="72" t="s">
        <v>265</v>
      </c>
      <c r="C57" s="72" t="s">
        <v>27</v>
      </c>
      <c r="D57" s="72" t="s">
        <v>90</v>
      </c>
      <c r="E57" s="21" t="s">
        <v>172</v>
      </c>
      <c r="F57" s="43">
        <v>32666</v>
      </c>
      <c r="G57" s="2">
        <f t="shared" ca="1" si="2"/>
        <v>37</v>
      </c>
      <c r="H57" s="2" t="s">
        <v>272</v>
      </c>
      <c r="I57" s="2" t="s">
        <v>244</v>
      </c>
      <c r="J57" s="2" t="s">
        <v>272</v>
      </c>
      <c r="K57" s="2" t="s">
        <v>273</v>
      </c>
      <c r="L57" s="2" t="s">
        <v>273</v>
      </c>
      <c r="M57" s="2" t="s">
        <v>272</v>
      </c>
      <c r="N57" s="2" t="s">
        <v>244</v>
      </c>
      <c r="O57" s="2" t="s">
        <v>272</v>
      </c>
      <c r="P57" s="93" t="s">
        <v>272</v>
      </c>
      <c r="Q57" s="93" t="s">
        <v>272</v>
      </c>
      <c r="R57" s="93"/>
    </row>
    <row r="58" spans="1:18" x14ac:dyDescent="0.25">
      <c r="A58">
        <v>56</v>
      </c>
      <c r="B58" s="72" t="s">
        <v>265</v>
      </c>
      <c r="C58" s="72" t="s">
        <v>274</v>
      </c>
      <c r="D58" s="72" t="s">
        <v>15</v>
      </c>
      <c r="E58" s="21" t="s">
        <v>138</v>
      </c>
      <c r="F58" s="43">
        <v>26461</v>
      </c>
      <c r="G58" s="2">
        <f t="shared" ca="1" si="2"/>
        <v>54</v>
      </c>
      <c r="H58" s="2" t="s">
        <v>273</v>
      </c>
      <c r="I58" s="2" t="s">
        <v>273</v>
      </c>
      <c r="J58" s="2" t="s">
        <v>273</v>
      </c>
      <c r="K58" s="2" t="s">
        <v>273</v>
      </c>
      <c r="L58" s="2" t="s">
        <v>273</v>
      </c>
      <c r="M58" s="2" t="s">
        <v>273</v>
      </c>
      <c r="N58" s="2" t="s">
        <v>273</v>
      </c>
      <c r="O58" s="2" t="s">
        <v>244</v>
      </c>
      <c r="P58" s="93" t="s">
        <v>273</v>
      </c>
      <c r="Q58" s="93" t="s">
        <v>273</v>
      </c>
      <c r="R58" s="93"/>
    </row>
    <row r="59" spans="1:18" x14ac:dyDescent="0.25">
      <c r="A59">
        <v>57</v>
      </c>
      <c r="B59" s="72" t="s">
        <v>265</v>
      </c>
      <c r="C59" s="72" t="s">
        <v>29</v>
      </c>
      <c r="D59" s="72" t="s">
        <v>28</v>
      </c>
      <c r="E59" s="21" t="s">
        <v>139</v>
      </c>
      <c r="F59" s="43">
        <v>30039</v>
      </c>
      <c r="G59" s="2">
        <f t="shared" ca="1" si="2"/>
        <v>44</v>
      </c>
      <c r="H59" s="2" t="s">
        <v>273</v>
      </c>
      <c r="I59" s="2" t="s">
        <v>249</v>
      </c>
      <c r="J59" s="2" t="s">
        <v>273</v>
      </c>
      <c r="K59" s="2" t="s">
        <v>249</v>
      </c>
      <c r="L59" s="2" t="s">
        <v>273</v>
      </c>
      <c r="M59" s="2" t="s">
        <v>273</v>
      </c>
      <c r="N59" s="2" t="s">
        <v>249</v>
      </c>
      <c r="O59" s="2" t="s">
        <v>273</v>
      </c>
      <c r="P59" s="93" t="s">
        <v>273</v>
      </c>
      <c r="Q59" s="93" t="s">
        <v>273</v>
      </c>
      <c r="R59" s="93"/>
    </row>
    <row r="60" spans="1:18" x14ac:dyDescent="0.25">
      <c r="A60">
        <v>58</v>
      </c>
      <c r="B60" s="72" t="s">
        <v>265</v>
      </c>
      <c r="C60" s="72" t="s">
        <v>284</v>
      </c>
      <c r="D60" s="72" t="s">
        <v>31</v>
      </c>
      <c r="E60" s="21" t="s">
        <v>140</v>
      </c>
      <c r="F60" s="43">
        <v>32533</v>
      </c>
      <c r="G60" s="2">
        <f t="shared" ca="1" si="2"/>
        <v>37</v>
      </c>
      <c r="H60" s="2" t="s">
        <v>272</v>
      </c>
      <c r="I60" s="2" t="s">
        <v>272</v>
      </c>
      <c r="J60" s="2" t="s">
        <v>272</v>
      </c>
      <c r="K60" s="2" t="s">
        <v>272</v>
      </c>
      <c r="L60" s="2" t="s">
        <v>272</v>
      </c>
      <c r="M60" s="2" t="s">
        <v>272</v>
      </c>
      <c r="N60" s="2" t="s">
        <v>273</v>
      </c>
      <c r="O60" s="2" t="s">
        <v>244</v>
      </c>
      <c r="P60" s="93" t="s">
        <v>244</v>
      </c>
      <c r="Q60" s="93" t="s">
        <v>244</v>
      </c>
      <c r="R60" s="93"/>
    </row>
    <row r="61" spans="1:18" x14ac:dyDescent="0.25">
      <c r="A61">
        <v>59</v>
      </c>
      <c r="B61" s="72" t="s">
        <v>265</v>
      </c>
      <c r="C61" s="72" t="s">
        <v>27</v>
      </c>
      <c r="D61" s="72" t="s">
        <v>26</v>
      </c>
      <c r="E61" s="21" t="s">
        <v>141</v>
      </c>
      <c r="F61" s="43">
        <v>32559</v>
      </c>
      <c r="G61" s="2">
        <f t="shared" ca="1" si="2"/>
        <v>37</v>
      </c>
      <c r="H61" s="2" t="s">
        <v>272</v>
      </c>
      <c r="I61" s="2" t="s">
        <v>272</v>
      </c>
      <c r="J61" s="2" t="s">
        <v>272</v>
      </c>
      <c r="K61" s="2" t="s">
        <v>273</v>
      </c>
      <c r="L61" s="2" t="s">
        <v>273</v>
      </c>
      <c r="M61" s="2" t="s">
        <v>272</v>
      </c>
      <c r="N61" s="2" t="s">
        <v>244</v>
      </c>
      <c r="O61" s="2" t="s">
        <v>244</v>
      </c>
      <c r="P61" s="93" t="s">
        <v>244</v>
      </c>
      <c r="Q61" s="93" t="s">
        <v>272</v>
      </c>
      <c r="R61" s="93"/>
    </row>
    <row r="62" spans="1:18" x14ac:dyDescent="0.25">
      <c r="A62">
        <v>60</v>
      </c>
      <c r="B62" s="72" t="s">
        <v>265</v>
      </c>
      <c r="C62" s="72" t="s">
        <v>226</v>
      </c>
      <c r="D62" s="72" t="s">
        <v>21</v>
      </c>
      <c r="E62" s="21" t="s">
        <v>142</v>
      </c>
      <c r="F62" s="43">
        <v>31754</v>
      </c>
      <c r="G62" s="2">
        <f t="shared" ca="1" si="2"/>
        <v>39</v>
      </c>
      <c r="H62" s="2" t="s">
        <v>244</v>
      </c>
      <c r="I62" s="2" t="s">
        <v>244</v>
      </c>
      <c r="J62" s="2" t="s">
        <v>244</v>
      </c>
      <c r="K62" s="2" t="s">
        <v>249</v>
      </c>
      <c r="L62" s="2" t="s">
        <v>244</v>
      </c>
      <c r="M62" s="2" t="s">
        <v>244</v>
      </c>
      <c r="N62" s="2" t="s">
        <v>244</v>
      </c>
      <c r="O62" s="2" t="s">
        <v>244</v>
      </c>
      <c r="P62" s="93" t="s">
        <v>244</v>
      </c>
      <c r="Q62" s="93" t="s">
        <v>244</v>
      </c>
      <c r="R62" s="93"/>
    </row>
    <row r="63" spans="1:18" x14ac:dyDescent="0.25">
      <c r="A63">
        <v>61</v>
      </c>
      <c r="B63" s="72" t="s">
        <v>265</v>
      </c>
      <c r="C63" s="72" t="s">
        <v>274</v>
      </c>
      <c r="D63" s="72" t="s">
        <v>23</v>
      </c>
      <c r="E63" s="21" t="s">
        <v>143</v>
      </c>
      <c r="F63" s="43">
        <v>32405</v>
      </c>
      <c r="G63" s="2">
        <f t="shared" ca="1" si="2"/>
        <v>37</v>
      </c>
      <c r="H63" s="2" t="s">
        <v>244</v>
      </c>
      <c r="I63" s="2" t="s">
        <v>244</v>
      </c>
      <c r="J63" s="2" t="s">
        <v>244</v>
      </c>
      <c r="K63" s="2" t="s">
        <v>244</v>
      </c>
      <c r="L63" s="2" t="s">
        <v>244</v>
      </c>
      <c r="M63" s="2" t="s">
        <v>272</v>
      </c>
      <c r="N63" s="2" t="s">
        <v>244</v>
      </c>
      <c r="O63" s="2" t="s">
        <v>244</v>
      </c>
      <c r="P63" s="93" t="s">
        <v>249</v>
      </c>
      <c r="Q63" s="93" t="s">
        <v>244</v>
      </c>
      <c r="R63" s="93"/>
    </row>
    <row r="64" spans="1:18" x14ac:dyDescent="0.25">
      <c r="A64">
        <v>62</v>
      </c>
      <c r="B64" s="72" t="s">
        <v>265</v>
      </c>
      <c r="C64" s="72" t="s">
        <v>274</v>
      </c>
      <c r="D64" s="72" t="s">
        <v>35</v>
      </c>
      <c r="E64" s="21" t="s">
        <v>144</v>
      </c>
      <c r="F64" s="43">
        <v>28212</v>
      </c>
      <c r="G64" s="2">
        <f t="shared" ca="1" si="2"/>
        <v>49</v>
      </c>
      <c r="H64" s="2" t="s">
        <v>272</v>
      </c>
      <c r="I64" s="2" t="s">
        <v>244</v>
      </c>
      <c r="J64" s="2" t="s">
        <v>272</v>
      </c>
      <c r="K64" s="2" t="s">
        <v>249</v>
      </c>
      <c r="L64" s="2" t="s">
        <v>273</v>
      </c>
      <c r="M64" s="2" t="s">
        <v>272</v>
      </c>
      <c r="N64" s="2" t="s">
        <v>244</v>
      </c>
      <c r="O64" s="2" t="s">
        <v>244</v>
      </c>
      <c r="P64" s="93" t="s">
        <v>244</v>
      </c>
      <c r="Q64" s="93" t="s">
        <v>244</v>
      </c>
      <c r="R64" s="93"/>
    </row>
    <row r="65" spans="1:18" x14ac:dyDescent="0.25">
      <c r="A65">
        <v>63</v>
      </c>
      <c r="B65" s="72" t="s">
        <v>265</v>
      </c>
      <c r="C65" s="72" t="s">
        <v>274</v>
      </c>
      <c r="D65" s="72" t="s">
        <v>34</v>
      </c>
      <c r="E65" s="21" t="s">
        <v>145</v>
      </c>
      <c r="F65" s="43">
        <v>23942</v>
      </c>
      <c r="G65" s="2">
        <f t="shared" ca="1" si="2"/>
        <v>60</v>
      </c>
      <c r="H65" s="2" t="s">
        <v>273</v>
      </c>
      <c r="I65" s="2" t="s">
        <v>273</v>
      </c>
      <c r="J65" s="2" t="s">
        <v>273</v>
      </c>
      <c r="K65" s="2" t="s">
        <v>273</v>
      </c>
      <c r="L65" s="2" t="s">
        <v>273</v>
      </c>
      <c r="M65" s="2" t="s">
        <v>273</v>
      </c>
      <c r="N65" s="2" t="s">
        <v>272</v>
      </c>
      <c r="O65" s="2" t="s">
        <v>273</v>
      </c>
      <c r="P65" s="93" t="s">
        <v>272</v>
      </c>
      <c r="Q65" s="93" t="s">
        <v>272</v>
      </c>
      <c r="R65" s="93"/>
    </row>
    <row r="66" spans="1:18" x14ac:dyDescent="0.25">
      <c r="A66">
        <v>64</v>
      </c>
      <c r="B66" s="72" t="s">
        <v>265</v>
      </c>
      <c r="C66" s="72" t="s">
        <v>226</v>
      </c>
      <c r="D66" s="72" t="s">
        <v>14</v>
      </c>
      <c r="E66" s="21" t="s">
        <v>146</v>
      </c>
      <c r="F66" s="43">
        <v>32880</v>
      </c>
      <c r="G66" s="2">
        <f t="shared" ca="1" si="2"/>
        <v>36</v>
      </c>
      <c r="H66" s="2" t="s">
        <v>273</v>
      </c>
      <c r="I66" s="2" t="s">
        <v>273</v>
      </c>
      <c r="J66" s="2" t="s">
        <v>249</v>
      </c>
      <c r="K66" s="2" t="s">
        <v>249</v>
      </c>
      <c r="L66" s="2" t="s">
        <v>273</v>
      </c>
      <c r="M66" s="2" t="s">
        <v>273</v>
      </c>
      <c r="N66" s="2" t="s">
        <v>272</v>
      </c>
      <c r="O66" s="2" t="s">
        <v>249</v>
      </c>
      <c r="P66" s="93" t="s">
        <v>249</v>
      </c>
      <c r="Q66" s="93" t="s">
        <v>273</v>
      </c>
      <c r="R66" s="93"/>
    </row>
    <row r="67" spans="1:18" x14ac:dyDescent="0.25">
      <c r="A67">
        <v>65</v>
      </c>
      <c r="B67" s="72" t="s">
        <v>265</v>
      </c>
      <c r="C67" s="72" t="s">
        <v>286</v>
      </c>
      <c r="D67" s="72" t="s">
        <v>18</v>
      </c>
      <c r="E67" s="21" t="s">
        <v>147</v>
      </c>
      <c r="F67" s="43">
        <v>33306</v>
      </c>
      <c r="G67" s="2">
        <f t="shared" ca="1" si="2"/>
        <v>35</v>
      </c>
      <c r="H67" s="2" t="s">
        <v>272</v>
      </c>
      <c r="I67" s="2" t="s">
        <v>272</v>
      </c>
      <c r="J67" s="2" t="s">
        <v>244</v>
      </c>
      <c r="K67" s="2" t="s">
        <v>272</v>
      </c>
      <c r="L67" s="2" t="s">
        <v>244</v>
      </c>
      <c r="M67" s="2" t="s">
        <v>244</v>
      </c>
      <c r="N67" s="2" t="s">
        <v>244</v>
      </c>
      <c r="O67" s="2" t="s">
        <v>272</v>
      </c>
      <c r="P67" s="93" t="s">
        <v>244</v>
      </c>
      <c r="Q67" s="93" t="s">
        <v>272</v>
      </c>
      <c r="R67" s="93"/>
    </row>
    <row r="68" spans="1:18" x14ac:dyDescent="0.25">
      <c r="A68">
        <v>66</v>
      </c>
      <c r="B68" s="72" t="s">
        <v>265</v>
      </c>
      <c r="C68" s="72" t="s">
        <v>27</v>
      </c>
      <c r="D68" s="72" t="s">
        <v>33</v>
      </c>
      <c r="E68" s="21" t="s">
        <v>148</v>
      </c>
      <c r="F68" s="43">
        <v>33100</v>
      </c>
      <c r="G68" s="2">
        <f t="shared" ca="1" si="2"/>
        <v>35</v>
      </c>
      <c r="H68" s="2" t="s">
        <v>272</v>
      </c>
      <c r="I68" s="2" t="s">
        <v>273</v>
      </c>
      <c r="J68" s="2" t="s">
        <v>273</v>
      </c>
      <c r="K68" s="2" t="s">
        <v>273</v>
      </c>
      <c r="L68" s="2" t="s">
        <v>273</v>
      </c>
      <c r="M68" s="2" t="s">
        <v>273</v>
      </c>
      <c r="N68" s="2" t="s">
        <v>272</v>
      </c>
      <c r="O68" s="2" t="s">
        <v>272</v>
      </c>
      <c r="P68" s="93" t="s">
        <v>272</v>
      </c>
      <c r="Q68" s="93" t="s">
        <v>273</v>
      </c>
      <c r="R68" s="93"/>
    </row>
    <row r="69" spans="1:18" x14ac:dyDescent="0.25">
      <c r="A69">
        <v>67</v>
      </c>
      <c r="B69" s="72" t="s">
        <v>265</v>
      </c>
      <c r="C69" s="72" t="s">
        <v>27</v>
      </c>
      <c r="D69" s="72" t="s">
        <v>32</v>
      </c>
      <c r="E69" s="21" t="s">
        <v>225</v>
      </c>
      <c r="F69" s="43">
        <v>32590</v>
      </c>
      <c r="G69" s="2">
        <f t="shared" ca="1" si="2"/>
        <v>37</v>
      </c>
      <c r="H69" s="2" t="s">
        <v>244</v>
      </c>
      <c r="I69" s="2" t="s">
        <v>244</v>
      </c>
      <c r="J69" s="2" t="s">
        <v>272</v>
      </c>
      <c r="K69" s="2" t="s">
        <v>272</v>
      </c>
      <c r="L69" s="2" t="s">
        <v>273</v>
      </c>
      <c r="M69" s="2" t="s">
        <v>273</v>
      </c>
      <c r="N69" s="2" t="s">
        <v>244</v>
      </c>
      <c r="O69" s="2" t="s">
        <v>244</v>
      </c>
      <c r="P69" s="93" t="s">
        <v>244</v>
      </c>
      <c r="Q69" s="93" t="s">
        <v>244</v>
      </c>
      <c r="R69" s="93"/>
    </row>
    <row r="70" spans="1:18" x14ac:dyDescent="0.25">
      <c r="A70">
        <v>68</v>
      </c>
      <c r="B70" s="72" t="s">
        <v>265</v>
      </c>
      <c r="C70" s="72" t="s">
        <v>274</v>
      </c>
      <c r="D70" s="72" t="s">
        <v>24</v>
      </c>
      <c r="E70" s="21" t="s">
        <v>149</v>
      </c>
      <c r="F70" s="43">
        <v>33141</v>
      </c>
      <c r="G70" s="2">
        <f t="shared" ca="1" si="2"/>
        <v>35</v>
      </c>
      <c r="H70" s="2" t="s">
        <v>272</v>
      </c>
      <c r="I70" s="2" t="s">
        <v>273</v>
      </c>
      <c r="J70" s="2" t="s">
        <v>273</v>
      </c>
      <c r="K70" s="2" t="s">
        <v>273</v>
      </c>
      <c r="L70" s="2" t="s">
        <v>273</v>
      </c>
      <c r="M70" s="2" t="s">
        <v>273</v>
      </c>
      <c r="N70" s="2" t="s">
        <v>244</v>
      </c>
      <c r="O70" s="2" t="s">
        <v>273</v>
      </c>
      <c r="P70" s="93" t="s">
        <v>249</v>
      </c>
      <c r="Q70" s="93" t="s">
        <v>273</v>
      </c>
      <c r="R70" s="93"/>
    </row>
    <row r="71" spans="1:18" x14ac:dyDescent="0.25">
      <c r="A71">
        <v>69</v>
      </c>
      <c r="B71" s="72" t="s">
        <v>265</v>
      </c>
      <c r="C71" s="72" t="s">
        <v>234</v>
      </c>
      <c r="D71" s="72" t="s">
        <v>11</v>
      </c>
      <c r="E71" s="21" t="s">
        <v>150</v>
      </c>
      <c r="F71" s="43">
        <v>31662</v>
      </c>
      <c r="G71" s="2">
        <f t="shared" ca="1" si="2"/>
        <v>39</v>
      </c>
      <c r="H71" s="2" t="s">
        <v>244</v>
      </c>
      <c r="I71" s="2" t="s">
        <v>244</v>
      </c>
      <c r="J71" s="2" t="s">
        <v>244</v>
      </c>
      <c r="K71" s="2" t="s">
        <v>244</v>
      </c>
      <c r="L71" s="2" t="s">
        <v>244</v>
      </c>
      <c r="M71" s="2" t="s">
        <v>244</v>
      </c>
      <c r="N71" s="2" t="s">
        <v>244</v>
      </c>
      <c r="O71" s="2" t="s">
        <v>244</v>
      </c>
      <c r="P71" s="93" t="s">
        <v>244</v>
      </c>
      <c r="Q71" s="93" t="s">
        <v>244</v>
      </c>
      <c r="R71" s="93"/>
    </row>
    <row r="72" spans="1:18" x14ac:dyDescent="0.25">
      <c r="A72">
        <v>70</v>
      </c>
      <c r="B72" s="72" t="s">
        <v>265</v>
      </c>
      <c r="C72" s="72" t="s">
        <v>234</v>
      </c>
      <c r="D72" s="72" t="s">
        <v>12</v>
      </c>
      <c r="E72" s="21" t="s">
        <v>151</v>
      </c>
      <c r="F72" s="43">
        <v>31536</v>
      </c>
      <c r="G72" s="2">
        <f t="shared" ca="1" si="2"/>
        <v>40</v>
      </c>
      <c r="H72" s="2" t="s">
        <v>244</v>
      </c>
      <c r="I72" s="2" t="s">
        <v>244</v>
      </c>
      <c r="J72" s="2" t="s">
        <v>244</v>
      </c>
      <c r="K72" s="2" t="s">
        <v>244</v>
      </c>
      <c r="L72" s="2" t="s">
        <v>244</v>
      </c>
      <c r="M72" s="2" t="s">
        <v>244</v>
      </c>
      <c r="N72" s="2" t="s">
        <v>244</v>
      </c>
      <c r="O72" s="2" t="s">
        <v>244</v>
      </c>
      <c r="P72" s="93" t="s">
        <v>244</v>
      </c>
      <c r="Q72" s="93" t="s">
        <v>272</v>
      </c>
      <c r="R72" s="93"/>
    </row>
    <row r="73" spans="1:18" x14ac:dyDescent="0.25">
      <c r="A73">
        <v>71</v>
      </c>
      <c r="B73" s="72" t="s">
        <v>265</v>
      </c>
      <c r="C73" s="72" t="s">
        <v>234</v>
      </c>
      <c r="D73" s="72" t="s">
        <v>30</v>
      </c>
      <c r="E73" s="21" t="s">
        <v>152</v>
      </c>
      <c r="F73" s="43">
        <v>27681</v>
      </c>
      <c r="G73" s="2">
        <f t="shared" ca="1" si="2"/>
        <v>50</v>
      </c>
      <c r="H73" s="2" t="s">
        <v>273</v>
      </c>
      <c r="I73" s="2" t="s">
        <v>273</v>
      </c>
      <c r="J73" s="2" t="s">
        <v>273</v>
      </c>
      <c r="K73" s="2" t="s">
        <v>249</v>
      </c>
      <c r="L73" s="2" t="s">
        <v>249</v>
      </c>
      <c r="M73" s="2" t="s">
        <v>272</v>
      </c>
      <c r="N73" s="2" t="s">
        <v>244</v>
      </c>
      <c r="O73" s="2" t="s">
        <v>244</v>
      </c>
      <c r="P73" s="93" t="s">
        <v>272</v>
      </c>
      <c r="Q73" s="93" t="s">
        <v>273</v>
      </c>
      <c r="R73" s="93"/>
    </row>
    <row r="74" spans="1:18" x14ac:dyDescent="0.25">
      <c r="A74">
        <v>72</v>
      </c>
      <c r="B74" s="72" t="s">
        <v>265</v>
      </c>
      <c r="C74" s="72" t="s">
        <v>274</v>
      </c>
      <c r="D74" s="72" t="s">
        <v>25</v>
      </c>
      <c r="E74" s="21" t="s">
        <v>153</v>
      </c>
      <c r="F74" s="43">
        <v>31447</v>
      </c>
      <c r="G74" s="2">
        <f t="shared" ca="1" si="2"/>
        <v>40</v>
      </c>
      <c r="H74" s="2" t="s">
        <v>272</v>
      </c>
      <c r="I74" s="2" t="s">
        <v>244</v>
      </c>
      <c r="J74" s="2" t="s">
        <v>244</v>
      </c>
      <c r="K74" s="2" t="s">
        <v>272</v>
      </c>
      <c r="L74" s="2" t="s">
        <v>272</v>
      </c>
      <c r="M74" s="2" t="s">
        <v>273</v>
      </c>
      <c r="N74" s="2" t="s">
        <v>244</v>
      </c>
      <c r="O74" s="2" t="s">
        <v>272</v>
      </c>
      <c r="P74" s="93" t="s">
        <v>272</v>
      </c>
      <c r="Q74" s="93" t="s">
        <v>272</v>
      </c>
      <c r="R74" s="93"/>
    </row>
    <row r="75" spans="1:18" x14ac:dyDescent="0.25">
      <c r="A75">
        <v>73</v>
      </c>
      <c r="B75" s="72" t="s">
        <v>265</v>
      </c>
      <c r="C75" s="72" t="s">
        <v>286</v>
      </c>
      <c r="D75" s="72" t="s">
        <v>16</v>
      </c>
      <c r="E75" s="21" t="s">
        <v>154</v>
      </c>
      <c r="F75" s="43">
        <v>29232</v>
      </c>
      <c r="G75" s="2">
        <f t="shared" ca="1" si="2"/>
        <v>46</v>
      </c>
      <c r="H75" s="2" t="s">
        <v>244</v>
      </c>
      <c r="I75" s="2" t="s">
        <v>244</v>
      </c>
      <c r="J75" s="2" t="s">
        <v>244</v>
      </c>
      <c r="K75" s="2" t="s">
        <v>244</v>
      </c>
      <c r="L75" s="2" t="s">
        <v>244</v>
      </c>
      <c r="M75" s="2" t="s">
        <v>244</v>
      </c>
      <c r="N75" s="2" t="s">
        <v>244</v>
      </c>
      <c r="O75" s="2" t="s">
        <v>244</v>
      </c>
      <c r="P75" s="93" t="s">
        <v>244</v>
      </c>
      <c r="Q75" s="93" t="s">
        <v>244</v>
      </c>
      <c r="R75" s="93"/>
    </row>
    <row r="76" spans="1:18" x14ac:dyDescent="0.25">
      <c r="A76">
        <v>74</v>
      </c>
      <c r="B76" s="72" t="s">
        <v>265</v>
      </c>
      <c r="C76" s="72" t="s">
        <v>274</v>
      </c>
      <c r="D76" s="72" t="s">
        <v>217</v>
      </c>
      <c r="E76" s="21" t="s">
        <v>218</v>
      </c>
      <c r="F76" s="43">
        <v>33160</v>
      </c>
      <c r="G76" s="2">
        <f t="shared" ca="1" si="2"/>
        <v>35</v>
      </c>
      <c r="H76" s="2" t="s">
        <v>297</v>
      </c>
      <c r="I76" s="2" t="s">
        <v>297</v>
      </c>
      <c r="J76" s="2" t="s">
        <v>297</v>
      </c>
      <c r="K76" s="2" t="s">
        <v>297</v>
      </c>
      <c r="L76" s="2" t="s">
        <v>297</v>
      </c>
      <c r="M76" s="2" t="s">
        <v>273</v>
      </c>
      <c r="N76" s="2" t="s">
        <v>272</v>
      </c>
      <c r="O76" s="2" t="s">
        <v>244</v>
      </c>
      <c r="P76" s="93" t="s">
        <v>244</v>
      </c>
      <c r="Q76" s="93" t="s">
        <v>273</v>
      </c>
      <c r="R76" s="93"/>
    </row>
    <row r="77" spans="1:18" x14ac:dyDescent="0.25">
      <c r="A77">
        <v>75</v>
      </c>
      <c r="B77" s="72" t="s">
        <v>265</v>
      </c>
      <c r="C77" s="72" t="s">
        <v>285</v>
      </c>
      <c r="D77" s="72" t="s">
        <v>13</v>
      </c>
      <c r="E77" s="21" t="s">
        <v>155</v>
      </c>
      <c r="F77" s="43">
        <v>32218</v>
      </c>
      <c r="G77" s="2">
        <f t="shared" ca="1" si="2"/>
        <v>38</v>
      </c>
      <c r="H77" s="2" t="s">
        <v>272</v>
      </c>
      <c r="I77" s="2" t="s">
        <v>273</v>
      </c>
      <c r="J77" s="2" t="s">
        <v>249</v>
      </c>
      <c r="K77" s="2" t="s">
        <v>273</v>
      </c>
      <c r="L77" s="2" t="s">
        <v>273</v>
      </c>
      <c r="M77" s="2" t="s">
        <v>273</v>
      </c>
      <c r="N77" s="2" t="s">
        <v>273</v>
      </c>
      <c r="O77" s="2" t="s">
        <v>244</v>
      </c>
      <c r="P77" s="93" t="s">
        <v>249</v>
      </c>
      <c r="Q77" s="93" t="s">
        <v>249</v>
      </c>
      <c r="R77" s="93"/>
    </row>
    <row r="78" spans="1:18" x14ac:dyDescent="0.25">
      <c r="A78">
        <v>76</v>
      </c>
      <c r="B78" s="72" t="s">
        <v>265</v>
      </c>
      <c r="C78" s="72" t="s">
        <v>274</v>
      </c>
      <c r="D78" s="72" t="s">
        <v>343</v>
      </c>
      <c r="E78" s="21" t="s">
        <v>344</v>
      </c>
      <c r="F78" s="43">
        <v>32698</v>
      </c>
      <c r="G78" s="2">
        <f t="shared" ca="1" si="2"/>
        <v>36</v>
      </c>
      <c r="H78" s="2" t="s">
        <v>297</v>
      </c>
      <c r="I78" s="2" t="s">
        <v>297</v>
      </c>
      <c r="J78" s="2" t="s">
        <v>297</v>
      </c>
      <c r="K78" s="2" t="s">
        <v>297</v>
      </c>
      <c r="L78" s="2" t="s">
        <v>297</v>
      </c>
      <c r="M78" s="2" t="s">
        <v>297</v>
      </c>
      <c r="N78" s="2" t="s">
        <v>297</v>
      </c>
      <c r="O78" s="2" t="s">
        <v>297</v>
      </c>
      <c r="P78" s="93" t="s">
        <v>272</v>
      </c>
      <c r="Q78" s="93" t="s">
        <v>272</v>
      </c>
      <c r="R78" s="93"/>
    </row>
    <row r="79" spans="1:18" x14ac:dyDescent="0.25">
      <c r="A79">
        <v>77</v>
      </c>
      <c r="B79" s="72" t="s">
        <v>265</v>
      </c>
      <c r="C79" s="72" t="s">
        <v>233</v>
      </c>
      <c r="D79" s="72" t="s">
        <v>20</v>
      </c>
      <c r="E79" s="21" t="s">
        <v>156</v>
      </c>
      <c r="F79" s="43">
        <v>33161</v>
      </c>
      <c r="G79" s="2">
        <f t="shared" ca="1" si="2"/>
        <v>35</v>
      </c>
      <c r="H79" s="2" t="s">
        <v>244</v>
      </c>
      <c r="I79" s="2" t="s">
        <v>244</v>
      </c>
      <c r="J79" s="2" t="s">
        <v>244</v>
      </c>
      <c r="K79" s="2" t="s">
        <v>244</v>
      </c>
      <c r="L79" s="2" t="s">
        <v>244</v>
      </c>
      <c r="M79" s="2" t="s">
        <v>244</v>
      </c>
      <c r="N79" s="2" t="s">
        <v>244</v>
      </c>
      <c r="O79" s="2" t="s">
        <v>244</v>
      </c>
      <c r="P79" s="93" t="s">
        <v>244</v>
      </c>
      <c r="Q79" s="93" t="s">
        <v>244</v>
      </c>
      <c r="R79" s="93"/>
    </row>
    <row r="80" spans="1:18" hidden="1" x14ac:dyDescent="0.25">
      <c r="A80">
        <v>78</v>
      </c>
      <c r="B80" s="72" t="s">
        <v>266</v>
      </c>
      <c r="C80" s="72" t="s">
        <v>286</v>
      </c>
      <c r="D80" s="72" t="s">
        <v>195</v>
      </c>
      <c r="E80" s="21" t="s">
        <v>196</v>
      </c>
      <c r="F80" s="43">
        <v>25442</v>
      </c>
      <c r="G80" s="2">
        <f t="shared" ca="1" si="2"/>
        <v>56</v>
      </c>
      <c r="H80" s="2" t="s">
        <v>297</v>
      </c>
      <c r="I80" s="2" t="s">
        <v>272</v>
      </c>
      <c r="J80" s="2" t="s">
        <v>272</v>
      </c>
      <c r="K80" s="2" t="s">
        <v>273</v>
      </c>
      <c r="L80" s="2" t="s">
        <v>272</v>
      </c>
      <c r="M80" s="2" t="s">
        <v>272</v>
      </c>
      <c r="N80" s="2" t="s">
        <v>244</v>
      </c>
      <c r="O80" s="2" t="s">
        <v>244</v>
      </c>
      <c r="P80" s="36" t="s">
        <v>297</v>
      </c>
      <c r="Q80" s="36"/>
      <c r="R80" s="36"/>
    </row>
    <row r="81" spans="1:18" x14ac:dyDescent="0.25">
      <c r="A81">
        <v>79</v>
      </c>
      <c r="B81" s="72" t="s">
        <v>265</v>
      </c>
      <c r="C81" s="72" t="s">
        <v>274</v>
      </c>
      <c r="D81" s="72" t="s">
        <v>230</v>
      </c>
      <c r="E81" s="21" t="s">
        <v>231</v>
      </c>
      <c r="F81" s="43">
        <v>33533</v>
      </c>
      <c r="G81" s="2">
        <f t="shared" ref="G81:G121" ca="1" si="3">DATEDIF(F81,TODAY(),"Y")</f>
        <v>34</v>
      </c>
      <c r="H81" s="2" t="s">
        <v>297</v>
      </c>
      <c r="I81" s="2" t="s">
        <v>297</v>
      </c>
      <c r="J81" s="2" t="s">
        <v>297</v>
      </c>
      <c r="K81" s="2" t="s">
        <v>297</v>
      </c>
      <c r="L81" s="2" t="s">
        <v>297</v>
      </c>
      <c r="M81" s="2" t="s">
        <v>297</v>
      </c>
      <c r="N81" s="2" t="s">
        <v>297</v>
      </c>
      <c r="O81" s="2" t="s">
        <v>244</v>
      </c>
      <c r="P81" s="93" t="s">
        <v>244</v>
      </c>
      <c r="Q81" s="93" t="s">
        <v>244</v>
      </c>
      <c r="R81" s="93"/>
    </row>
    <row r="82" spans="1:18" x14ac:dyDescent="0.25">
      <c r="A82">
        <v>80</v>
      </c>
      <c r="B82" s="72" t="s">
        <v>265</v>
      </c>
      <c r="C82" s="72" t="s">
        <v>286</v>
      </c>
      <c r="D82" s="72" t="s">
        <v>17</v>
      </c>
      <c r="E82" s="21" t="s">
        <v>157</v>
      </c>
      <c r="F82" s="43">
        <v>31337</v>
      </c>
      <c r="G82" s="2">
        <f t="shared" ca="1" si="3"/>
        <v>40</v>
      </c>
      <c r="H82" s="2" t="s">
        <v>272</v>
      </c>
      <c r="I82" s="2" t="s">
        <v>244</v>
      </c>
      <c r="J82" s="2" t="s">
        <v>272</v>
      </c>
      <c r="K82" s="2" t="s">
        <v>272</v>
      </c>
      <c r="L82" s="2" t="s">
        <v>244</v>
      </c>
      <c r="M82" s="2" t="s">
        <v>272</v>
      </c>
      <c r="N82" s="2" t="s">
        <v>244</v>
      </c>
      <c r="O82" s="2" t="s">
        <v>272</v>
      </c>
      <c r="P82" s="93" t="s">
        <v>273</v>
      </c>
      <c r="Q82" s="93" t="s">
        <v>273</v>
      </c>
      <c r="R82" s="93"/>
    </row>
    <row r="83" spans="1:18" x14ac:dyDescent="0.25">
      <c r="A83">
        <v>81</v>
      </c>
      <c r="B83" s="72" t="s">
        <v>265</v>
      </c>
      <c r="C83" s="72" t="s">
        <v>274</v>
      </c>
      <c r="D83" s="72">
        <v>101218</v>
      </c>
      <c r="E83" s="21" t="s">
        <v>379</v>
      </c>
      <c r="F83" s="43">
        <v>23780</v>
      </c>
      <c r="G83" s="2">
        <f t="shared" ca="1" si="3"/>
        <v>61</v>
      </c>
      <c r="H83" s="2" t="s">
        <v>297</v>
      </c>
      <c r="I83" s="2" t="s">
        <v>297</v>
      </c>
      <c r="J83" s="2" t="s">
        <v>297</v>
      </c>
      <c r="K83" s="2" t="s">
        <v>297</v>
      </c>
      <c r="L83" s="2" t="s">
        <v>297</v>
      </c>
      <c r="M83" s="2" t="s">
        <v>297</v>
      </c>
      <c r="N83" s="2" t="s">
        <v>297</v>
      </c>
      <c r="O83" s="2" t="s">
        <v>297</v>
      </c>
      <c r="P83" s="93" t="s">
        <v>273</v>
      </c>
      <c r="Q83" s="93" t="s">
        <v>273</v>
      </c>
      <c r="R83" s="93"/>
    </row>
    <row r="84" spans="1:18" x14ac:dyDescent="0.25">
      <c r="A84">
        <v>82</v>
      </c>
      <c r="B84" s="72" t="s">
        <v>265</v>
      </c>
      <c r="C84" s="72" t="s">
        <v>29</v>
      </c>
      <c r="D84" s="72" t="s">
        <v>208</v>
      </c>
      <c r="E84" s="1" t="s">
        <v>209</v>
      </c>
      <c r="F84" s="43">
        <v>33899</v>
      </c>
      <c r="G84" s="2">
        <f t="shared" ca="1" si="3"/>
        <v>33</v>
      </c>
      <c r="H84" s="2" t="s">
        <v>297</v>
      </c>
      <c r="I84" s="2" t="s">
        <v>297</v>
      </c>
      <c r="J84" s="2" t="s">
        <v>297</v>
      </c>
      <c r="K84" s="2" t="s">
        <v>297</v>
      </c>
      <c r="L84" s="2" t="s">
        <v>297</v>
      </c>
      <c r="M84" s="2" t="s">
        <v>249</v>
      </c>
      <c r="N84" s="2" t="s">
        <v>244</v>
      </c>
      <c r="O84" s="2" t="s">
        <v>244</v>
      </c>
      <c r="P84" s="93" t="s">
        <v>244</v>
      </c>
      <c r="Q84" s="93" t="s">
        <v>244</v>
      </c>
      <c r="R84" s="93"/>
    </row>
    <row r="85" spans="1:18" x14ac:dyDescent="0.25">
      <c r="A85">
        <v>83</v>
      </c>
      <c r="B85" s="72" t="s">
        <v>265</v>
      </c>
      <c r="C85" s="72" t="s">
        <v>274</v>
      </c>
      <c r="D85" s="72" t="s">
        <v>200</v>
      </c>
      <c r="E85" s="1" t="s">
        <v>201</v>
      </c>
      <c r="F85" s="43">
        <v>32945</v>
      </c>
      <c r="G85" s="2">
        <f t="shared" ca="1" si="3"/>
        <v>36</v>
      </c>
      <c r="H85" s="2" t="s">
        <v>297</v>
      </c>
      <c r="I85" s="2" t="s">
        <v>297</v>
      </c>
      <c r="J85" s="2" t="s">
        <v>297</v>
      </c>
      <c r="K85" s="2" t="s">
        <v>297</v>
      </c>
      <c r="L85" s="2" t="s">
        <v>297</v>
      </c>
      <c r="N85" s="2" t="s">
        <v>272</v>
      </c>
      <c r="O85" s="2" t="s">
        <v>273</v>
      </c>
      <c r="P85" s="93" t="s">
        <v>272</v>
      </c>
      <c r="Q85" s="93" t="s">
        <v>272</v>
      </c>
      <c r="R85" s="93"/>
    </row>
    <row r="86" spans="1:18" x14ac:dyDescent="0.25">
      <c r="A86">
        <v>84</v>
      </c>
      <c r="B86" s="72" t="s">
        <v>265</v>
      </c>
      <c r="C86" s="72" t="s">
        <v>168</v>
      </c>
      <c r="D86" s="80" t="s">
        <v>19</v>
      </c>
      <c r="E86" s="22" t="s">
        <v>158</v>
      </c>
      <c r="F86" s="43">
        <v>33898</v>
      </c>
      <c r="G86" s="2">
        <f t="shared" ca="1" si="3"/>
        <v>33</v>
      </c>
      <c r="H86" s="2" t="s">
        <v>297</v>
      </c>
      <c r="I86" s="2" t="s">
        <v>244</v>
      </c>
      <c r="J86" s="2" t="s">
        <v>244</v>
      </c>
      <c r="K86" s="2" t="s">
        <v>244</v>
      </c>
      <c r="L86" s="2" t="s">
        <v>244</v>
      </c>
      <c r="M86" s="2" t="s">
        <v>244</v>
      </c>
      <c r="N86" s="2" t="s">
        <v>244</v>
      </c>
      <c r="O86" s="2" t="s">
        <v>244</v>
      </c>
      <c r="P86" s="93" t="s">
        <v>249</v>
      </c>
      <c r="Q86" s="93" t="s">
        <v>244</v>
      </c>
      <c r="R86" s="93"/>
    </row>
    <row r="87" spans="1:18" x14ac:dyDescent="0.25">
      <c r="A87">
        <v>85</v>
      </c>
      <c r="B87" s="72" t="s">
        <v>265</v>
      </c>
      <c r="C87" s="72" t="s">
        <v>226</v>
      </c>
      <c r="D87" s="72" t="s">
        <v>173</v>
      </c>
      <c r="E87" s="20" t="s">
        <v>174</v>
      </c>
      <c r="F87" s="43">
        <v>34143</v>
      </c>
      <c r="G87" s="2">
        <f t="shared" ca="1" si="3"/>
        <v>32</v>
      </c>
      <c r="H87" s="2" t="s">
        <v>297</v>
      </c>
      <c r="I87" s="2" t="s">
        <v>297</v>
      </c>
      <c r="J87" s="2" t="s">
        <v>244</v>
      </c>
      <c r="K87" s="2" t="s">
        <v>244</v>
      </c>
      <c r="L87" s="2" t="s">
        <v>244</v>
      </c>
      <c r="M87" s="2" t="s">
        <v>244</v>
      </c>
      <c r="N87" s="2" t="s">
        <v>244</v>
      </c>
      <c r="O87" s="2" t="s">
        <v>244</v>
      </c>
      <c r="P87" s="93" t="s">
        <v>244</v>
      </c>
      <c r="Q87" s="93" t="s">
        <v>244</v>
      </c>
      <c r="R87" s="93"/>
    </row>
    <row r="88" spans="1:18" x14ac:dyDescent="0.25">
      <c r="A88">
        <v>86</v>
      </c>
      <c r="B88" s="72" t="s">
        <v>265</v>
      </c>
      <c r="C88" s="72" t="s">
        <v>274</v>
      </c>
      <c r="D88" s="72" t="s">
        <v>413</v>
      </c>
      <c r="E88" s="20" t="s">
        <v>414</v>
      </c>
      <c r="F88" s="43">
        <v>27979</v>
      </c>
      <c r="G88" s="2">
        <f t="shared" ca="1" si="3"/>
        <v>49</v>
      </c>
      <c r="H88" s="2" t="s">
        <v>297</v>
      </c>
      <c r="I88" s="2" t="s">
        <v>297</v>
      </c>
      <c r="J88" s="2" t="s">
        <v>297</v>
      </c>
      <c r="K88" s="2" t="s">
        <v>297</v>
      </c>
      <c r="L88" s="2" t="s">
        <v>297</v>
      </c>
      <c r="M88" s="2" t="s">
        <v>297</v>
      </c>
      <c r="N88" s="2" t="s">
        <v>297</v>
      </c>
      <c r="O88" s="2" t="s">
        <v>297</v>
      </c>
      <c r="P88" s="2" t="s">
        <v>297</v>
      </c>
      <c r="Q88" s="93" t="s">
        <v>272</v>
      </c>
      <c r="R88" s="93"/>
    </row>
    <row r="89" spans="1:18" x14ac:dyDescent="0.25">
      <c r="A89">
        <v>87</v>
      </c>
      <c r="B89" s="72" t="s">
        <v>265</v>
      </c>
      <c r="C89" s="72" t="s">
        <v>274</v>
      </c>
      <c r="D89" s="72" t="s">
        <v>256</v>
      </c>
      <c r="E89" s="20" t="s">
        <v>259</v>
      </c>
      <c r="F89" s="43">
        <v>33437</v>
      </c>
      <c r="G89" s="2">
        <f t="shared" ca="1" si="3"/>
        <v>34</v>
      </c>
      <c r="H89" s="2" t="s">
        <v>297</v>
      </c>
      <c r="I89" s="2" t="s">
        <v>297</v>
      </c>
      <c r="J89" s="2" t="s">
        <v>297</v>
      </c>
      <c r="K89" s="2" t="s">
        <v>297</v>
      </c>
      <c r="L89" s="2" t="s">
        <v>297</v>
      </c>
      <c r="M89" s="2" t="s">
        <v>297</v>
      </c>
      <c r="N89" s="2" t="s">
        <v>297</v>
      </c>
      <c r="O89" s="2" t="s">
        <v>272</v>
      </c>
      <c r="P89" s="93" t="s">
        <v>244</v>
      </c>
      <c r="Q89" s="93" t="s">
        <v>272</v>
      </c>
      <c r="R89" s="93"/>
    </row>
    <row r="90" spans="1:18" x14ac:dyDescent="0.25">
      <c r="A90">
        <v>88</v>
      </c>
      <c r="B90" s="72" t="s">
        <v>265</v>
      </c>
      <c r="C90" s="72" t="s">
        <v>234</v>
      </c>
      <c r="D90" s="72" t="s">
        <v>275</v>
      </c>
      <c r="E90" s="20" t="s">
        <v>276</v>
      </c>
      <c r="F90" s="43">
        <v>24547</v>
      </c>
      <c r="G90" s="2">
        <f t="shared" ca="1" si="3"/>
        <v>59</v>
      </c>
      <c r="H90" s="2" t="s">
        <v>297</v>
      </c>
      <c r="I90" s="2" t="s">
        <v>297</v>
      </c>
      <c r="J90" s="2" t="s">
        <v>297</v>
      </c>
      <c r="K90" s="2" t="s">
        <v>297</v>
      </c>
      <c r="L90" s="2" t="s">
        <v>297</v>
      </c>
      <c r="M90" s="2" t="s">
        <v>272</v>
      </c>
      <c r="N90" s="2" t="s">
        <v>297</v>
      </c>
      <c r="O90" s="2" t="s">
        <v>272</v>
      </c>
      <c r="P90" s="93" t="s">
        <v>273</v>
      </c>
      <c r="Q90" s="93" t="s">
        <v>272</v>
      </c>
      <c r="R90" s="93"/>
    </row>
    <row r="91" spans="1:18" x14ac:dyDescent="0.25">
      <c r="A91">
        <v>89</v>
      </c>
      <c r="B91" s="72" t="s">
        <v>265</v>
      </c>
      <c r="C91" s="72" t="s">
        <v>274</v>
      </c>
      <c r="D91" s="72" t="s">
        <v>250</v>
      </c>
      <c r="E91" s="20" t="s">
        <v>251</v>
      </c>
      <c r="F91" s="43">
        <v>34737</v>
      </c>
      <c r="G91" s="2">
        <f t="shared" ca="1" si="3"/>
        <v>31</v>
      </c>
      <c r="H91" s="2" t="s">
        <v>297</v>
      </c>
      <c r="I91" s="2" t="s">
        <v>297</v>
      </c>
      <c r="J91" s="2" t="s">
        <v>297</v>
      </c>
      <c r="K91" s="2" t="s">
        <v>297</v>
      </c>
      <c r="L91" s="2" t="s">
        <v>297</v>
      </c>
      <c r="M91" s="2" t="s">
        <v>297</v>
      </c>
      <c r="N91" s="2" t="s">
        <v>297</v>
      </c>
      <c r="O91" s="2" t="s">
        <v>272</v>
      </c>
      <c r="P91" s="93" t="s">
        <v>272</v>
      </c>
      <c r="Q91" s="93" t="s">
        <v>273</v>
      </c>
      <c r="R91" s="93"/>
    </row>
    <row r="92" spans="1:18" x14ac:dyDescent="0.25">
      <c r="A92">
        <v>90</v>
      </c>
      <c r="B92" s="72" t="s">
        <v>265</v>
      </c>
      <c r="C92" s="72" t="s">
        <v>235</v>
      </c>
      <c r="D92" s="72" t="s">
        <v>184</v>
      </c>
      <c r="E92" s="1" t="s">
        <v>185</v>
      </c>
      <c r="F92" s="43">
        <v>33931</v>
      </c>
      <c r="G92" s="2">
        <f t="shared" ca="1" si="3"/>
        <v>33</v>
      </c>
      <c r="H92" s="2" t="s">
        <v>297</v>
      </c>
      <c r="I92" s="2" t="s">
        <v>297</v>
      </c>
      <c r="J92" s="2" t="s">
        <v>297</v>
      </c>
      <c r="K92" s="2" t="s">
        <v>297</v>
      </c>
      <c r="L92" s="2" t="s">
        <v>244</v>
      </c>
      <c r="M92" s="2" t="s">
        <v>272</v>
      </c>
      <c r="N92" s="2" t="s">
        <v>272</v>
      </c>
      <c r="O92" s="2" t="s">
        <v>272</v>
      </c>
      <c r="P92" s="93" t="s">
        <v>272</v>
      </c>
      <c r="Q92" s="93" t="s">
        <v>273</v>
      </c>
      <c r="R92" s="93"/>
    </row>
    <row r="93" spans="1:18" x14ac:dyDescent="0.25">
      <c r="A93">
        <v>91</v>
      </c>
      <c r="B93" s="72" t="s">
        <v>265</v>
      </c>
      <c r="C93" s="72" t="s">
        <v>27</v>
      </c>
      <c r="D93" s="72" t="s">
        <v>223</v>
      </c>
      <c r="E93" s="1" t="s">
        <v>224</v>
      </c>
      <c r="F93" s="43">
        <v>34764</v>
      </c>
      <c r="G93" s="2">
        <f t="shared" ca="1" si="3"/>
        <v>31</v>
      </c>
      <c r="H93" s="2" t="s">
        <v>297</v>
      </c>
      <c r="I93" s="2" t="s">
        <v>297</v>
      </c>
      <c r="J93" s="2" t="s">
        <v>297</v>
      </c>
      <c r="K93" s="2" t="s">
        <v>297</v>
      </c>
      <c r="L93" s="2" t="s">
        <v>297</v>
      </c>
      <c r="M93" s="2" t="s">
        <v>297</v>
      </c>
      <c r="N93" s="2" t="s">
        <v>244</v>
      </c>
      <c r="O93" s="2" t="s">
        <v>244</v>
      </c>
      <c r="P93" s="93" t="s">
        <v>244</v>
      </c>
      <c r="Q93" s="93" t="s">
        <v>244</v>
      </c>
      <c r="R93" s="93"/>
    </row>
    <row r="94" spans="1:18" x14ac:dyDescent="0.25">
      <c r="A94">
        <v>92</v>
      </c>
      <c r="B94" s="72" t="s">
        <v>265</v>
      </c>
      <c r="C94" s="72" t="s">
        <v>226</v>
      </c>
      <c r="D94" s="72" t="s">
        <v>238</v>
      </c>
      <c r="E94" s="1" t="s">
        <v>239</v>
      </c>
      <c r="F94" s="43">
        <v>35037</v>
      </c>
      <c r="G94" s="2">
        <f t="shared" ca="1" si="3"/>
        <v>30</v>
      </c>
      <c r="H94" s="2" t="s">
        <v>297</v>
      </c>
      <c r="I94" s="2" t="s">
        <v>297</v>
      </c>
      <c r="J94" s="2" t="s">
        <v>297</v>
      </c>
      <c r="K94" s="2" t="s">
        <v>297</v>
      </c>
      <c r="L94" s="2" t="s">
        <v>297</v>
      </c>
      <c r="M94" s="2" t="s">
        <v>297</v>
      </c>
      <c r="N94" s="2" t="s">
        <v>297</v>
      </c>
      <c r="O94" s="2" t="s">
        <v>272</v>
      </c>
      <c r="P94" s="93" t="s">
        <v>272</v>
      </c>
      <c r="Q94" s="93" t="s">
        <v>272</v>
      </c>
      <c r="R94" s="93"/>
    </row>
    <row r="95" spans="1:18" x14ac:dyDescent="0.25">
      <c r="A95">
        <v>93</v>
      </c>
      <c r="B95" s="72" t="s">
        <v>265</v>
      </c>
      <c r="C95" s="72" t="s">
        <v>274</v>
      </c>
      <c r="D95" s="72" t="s">
        <v>247</v>
      </c>
      <c r="E95" s="46" t="s">
        <v>248</v>
      </c>
      <c r="F95" s="43">
        <v>28000</v>
      </c>
      <c r="G95" s="2">
        <f t="shared" ca="1" si="3"/>
        <v>49</v>
      </c>
      <c r="H95" s="2" t="s">
        <v>297</v>
      </c>
      <c r="I95" s="2" t="s">
        <v>297</v>
      </c>
      <c r="J95" s="2" t="s">
        <v>297</v>
      </c>
      <c r="K95" s="2" t="s">
        <v>297</v>
      </c>
      <c r="L95" s="2" t="s">
        <v>297</v>
      </c>
      <c r="M95" s="2" t="s">
        <v>297</v>
      </c>
      <c r="N95" s="2" t="s">
        <v>297</v>
      </c>
      <c r="O95" s="2" t="s">
        <v>272</v>
      </c>
      <c r="P95" s="36" t="s">
        <v>244</v>
      </c>
      <c r="Q95" s="36" t="s">
        <v>244</v>
      </c>
      <c r="R95" s="36"/>
    </row>
    <row r="96" spans="1:18" x14ac:dyDescent="0.25">
      <c r="A96">
        <v>94</v>
      </c>
      <c r="B96" s="72" t="s">
        <v>265</v>
      </c>
      <c r="C96" s="72" t="s">
        <v>274</v>
      </c>
      <c r="D96" s="72" t="s">
        <v>219</v>
      </c>
      <c r="E96" s="1" t="s">
        <v>220</v>
      </c>
      <c r="F96" s="43">
        <v>34794</v>
      </c>
      <c r="G96" s="2">
        <f t="shared" ca="1" si="3"/>
        <v>31</v>
      </c>
      <c r="H96" s="2" t="s">
        <v>297</v>
      </c>
      <c r="I96" s="2" t="s">
        <v>297</v>
      </c>
      <c r="J96" s="2" t="s">
        <v>297</v>
      </c>
      <c r="K96" s="2" t="s">
        <v>297</v>
      </c>
      <c r="L96" s="2" t="s">
        <v>297</v>
      </c>
      <c r="M96" s="2" t="s">
        <v>297</v>
      </c>
      <c r="N96" s="2" t="s">
        <v>273</v>
      </c>
      <c r="O96" s="2" t="s">
        <v>272</v>
      </c>
      <c r="P96" s="93" t="s">
        <v>249</v>
      </c>
      <c r="Q96" s="36" t="s">
        <v>272</v>
      </c>
      <c r="R96" s="36"/>
    </row>
    <row r="97" spans="1:18" x14ac:dyDescent="0.25">
      <c r="A97">
        <v>95</v>
      </c>
      <c r="B97" s="72" t="s">
        <v>265</v>
      </c>
      <c r="C97" s="72" t="s">
        <v>284</v>
      </c>
      <c r="D97" s="72" t="s">
        <v>257</v>
      </c>
      <c r="E97" s="1" t="s">
        <v>260</v>
      </c>
      <c r="F97" s="43">
        <v>34629</v>
      </c>
      <c r="G97" s="2">
        <f t="shared" ca="1" si="3"/>
        <v>31</v>
      </c>
      <c r="H97" s="2" t="s">
        <v>297</v>
      </c>
      <c r="I97" s="2" t="s">
        <v>297</v>
      </c>
      <c r="J97" s="2" t="s">
        <v>297</v>
      </c>
      <c r="K97" s="2" t="s">
        <v>297</v>
      </c>
      <c r="L97" s="2" t="s">
        <v>297</v>
      </c>
      <c r="M97" s="2" t="s">
        <v>297</v>
      </c>
      <c r="N97" s="2" t="s">
        <v>297</v>
      </c>
      <c r="O97" s="2" t="s">
        <v>244</v>
      </c>
      <c r="P97" s="36" t="s">
        <v>244</v>
      </c>
      <c r="Q97" s="36" t="s">
        <v>272</v>
      </c>
      <c r="R97" s="36"/>
    </row>
    <row r="98" spans="1:18" x14ac:dyDescent="0.25">
      <c r="A98">
        <v>96</v>
      </c>
      <c r="B98" s="72" t="s">
        <v>265</v>
      </c>
      <c r="C98" s="72" t="s">
        <v>274</v>
      </c>
      <c r="D98" s="72" t="s">
        <v>240</v>
      </c>
      <c r="E98" s="1" t="s">
        <v>241</v>
      </c>
      <c r="F98" s="43">
        <v>34761</v>
      </c>
      <c r="G98" s="2">
        <f t="shared" ca="1" si="3"/>
        <v>31</v>
      </c>
      <c r="H98" s="2" t="s">
        <v>297</v>
      </c>
      <c r="I98" s="2" t="s">
        <v>297</v>
      </c>
      <c r="J98" s="2" t="s">
        <v>297</v>
      </c>
      <c r="K98" s="2" t="s">
        <v>297</v>
      </c>
      <c r="L98" s="2" t="s">
        <v>297</v>
      </c>
      <c r="M98" s="2" t="s">
        <v>297</v>
      </c>
      <c r="N98" s="2" t="s">
        <v>297</v>
      </c>
      <c r="O98" s="2" t="s">
        <v>244</v>
      </c>
      <c r="P98" s="36" t="s">
        <v>244</v>
      </c>
      <c r="Q98" s="36" t="s">
        <v>272</v>
      </c>
      <c r="R98" s="36"/>
    </row>
    <row r="99" spans="1:18" x14ac:dyDescent="0.25">
      <c r="A99">
        <v>97</v>
      </c>
      <c r="B99" s="72" t="s">
        <v>265</v>
      </c>
      <c r="C99" s="72" t="s">
        <v>274</v>
      </c>
      <c r="D99" s="72" t="s">
        <v>405</v>
      </c>
      <c r="E99" s="1" t="s">
        <v>406</v>
      </c>
      <c r="F99" s="43">
        <v>33743</v>
      </c>
      <c r="G99" s="2">
        <f t="shared" ca="1" si="3"/>
        <v>34</v>
      </c>
      <c r="H99" s="2" t="s">
        <v>297</v>
      </c>
      <c r="I99" s="2" t="s">
        <v>297</v>
      </c>
      <c r="J99" s="2" t="s">
        <v>297</v>
      </c>
      <c r="K99" s="2" t="s">
        <v>297</v>
      </c>
      <c r="L99" s="2" t="s">
        <v>297</v>
      </c>
      <c r="M99" s="2" t="s">
        <v>297</v>
      </c>
      <c r="N99" s="2" t="s">
        <v>297</v>
      </c>
      <c r="O99" s="2" t="s">
        <v>297</v>
      </c>
      <c r="P99" s="2" t="s">
        <v>297</v>
      </c>
      <c r="Q99" s="36" t="s">
        <v>244</v>
      </c>
      <c r="R99" s="36"/>
    </row>
    <row r="100" spans="1:18" x14ac:dyDescent="0.25">
      <c r="A100">
        <v>98</v>
      </c>
      <c r="B100" s="72" t="s">
        <v>265</v>
      </c>
      <c r="C100" s="72" t="s">
        <v>168</v>
      </c>
      <c r="D100" s="72" t="s">
        <v>197</v>
      </c>
      <c r="E100" s="1" t="s">
        <v>188</v>
      </c>
      <c r="F100" s="43">
        <v>35010</v>
      </c>
      <c r="G100" s="2">
        <f t="shared" ca="1" si="3"/>
        <v>30</v>
      </c>
      <c r="H100" s="2" t="s">
        <v>297</v>
      </c>
      <c r="I100" s="2" t="s">
        <v>297</v>
      </c>
      <c r="J100" s="2" t="s">
        <v>297</v>
      </c>
      <c r="K100" s="2" t="s">
        <v>297</v>
      </c>
      <c r="L100" s="2" t="s">
        <v>272</v>
      </c>
      <c r="M100" s="2" t="s">
        <v>272</v>
      </c>
      <c r="N100" s="2" t="s">
        <v>244</v>
      </c>
      <c r="O100" s="2" t="s">
        <v>244</v>
      </c>
      <c r="P100" s="36" t="s">
        <v>244</v>
      </c>
      <c r="Q100" s="36" t="s">
        <v>249</v>
      </c>
      <c r="R100" s="36"/>
    </row>
    <row r="101" spans="1:18" x14ac:dyDescent="0.25">
      <c r="A101">
        <v>99</v>
      </c>
      <c r="B101" s="72" t="s">
        <v>265</v>
      </c>
      <c r="C101" s="72" t="s">
        <v>274</v>
      </c>
      <c r="D101" s="72" t="s">
        <v>415</v>
      </c>
      <c r="E101" s="1" t="s">
        <v>416</v>
      </c>
      <c r="F101" s="43">
        <v>34725</v>
      </c>
      <c r="G101" s="2">
        <f t="shared" ca="1" si="3"/>
        <v>31</v>
      </c>
      <c r="H101" s="2" t="s">
        <v>297</v>
      </c>
      <c r="I101" s="2" t="s">
        <v>297</v>
      </c>
      <c r="J101" s="2" t="s">
        <v>297</v>
      </c>
      <c r="K101" s="2" t="s">
        <v>297</v>
      </c>
      <c r="L101" s="2" t="s">
        <v>297</v>
      </c>
      <c r="M101" s="2" t="s">
        <v>297</v>
      </c>
      <c r="N101" s="2" t="s">
        <v>297</v>
      </c>
      <c r="O101" s="2" t="s">
        <v>297</v>
      </c>
      <c r="P101" s="2" t="s">
        <v>297</v>
      </c>
      <c r="Q101" s="36" t="s">
        <v>244</v>
      </c>
      <c r="R101" s="36"/>
    </row>
    <row r="102" spans="1:18" x14ac:dyDescent="0.25">
      <c r="A102">
        <v>100</v>
      </c>
      <c r="B102" s="72" t="s">
        <v>266</v>
      </c>
      <c r="C102" s="72" t="s">
        <v>286</v>
      </c>
      <c r="D102" s="72" t="s">
        <v>186</v>
      </c>
      <c r="E102" s="1" t="s">
        <v>187</v>
      </c>
      <c r="F102" s="43">
        <v>32305</v>
      </c>
      <c r="G102" s="2">
        <f t="shared" ca="1" si="3"/>
        <v>38</v>
      </c>
      <c r="H102" s="2" t="s">
        <v>297</v>
      </c>
      <c r="I102" s="2" t="s">
        <v>297</v>
      </c>
      <c r="J102" s="2" t="s">
        <v>297</v>
      </c>
      <c r="K102" s="2" t="s">
        <v>297</v>
      </c>
      <c r="L102" s="2" t="s">
        <v>272</v>
      </c>
      <c r="M102" s="2" t="s">
        <v>272</v>
      </c>
      <c r="N102" s="2" t="s">
        <v>244</v>
      </c>
      <c r="O102" s="2" t="s">
        <v>244</v>
      </c>
      <c r="P102" s="36" t="s">
        <v>244</v>
      </c>
      <c r="Q102" s="36" t="s">
        <v>272</v>
      </c>
      <c r="R102" s="36"/>
    </row>
    <row r="103" spans="1:18" x14ac:dyDescent="0.25">
      <c r="A103">
        <v>101</v>
      </c>
      <c r="B103" s="72" t="s">
        <v>265</v>
      </c>
      <c r="C103" s="72" t="s">
        <v>168</v>
      </c>
      <c r="D103" s="72" t="s">
        <v>345</v>
      </c>
      <c r="E103" s="1" t="s">
        <v>346</v>
      </c>
      <c r="F103" s="43">
        <v>31292</v>
      </c>
      <c r="G103" s="2">
        <f t="shared" ca="1" si="3"/>
        <v>40</v>
      </c>
      <c r="H103" s="2" t="s">
        <v>297</v>
      </c>
      <c r="I103" s="2" t="s">
        <v>297</v>
      </c>
      <c r="J103" s="2" t="s">
        <v>297</v>
      </c>
      <c r="K103" s="2" t="s">
        <v>297</v>
      </c>
      <c r="L103" s="2" t="s">
        <v>297</v>
      </c>
      <c r="M103" s="2" t="s">
        <v>297</v>
      </c>
      <c r="N103" s="2" t="s">
        <v>297</v>
      </c>
      <c r="O103" s="2" t="s">
        <v>297</v>
      </c>
      <c r="P103" s="93" t="s">
        <v>249</v>
      </c>
      <c r="Q103" s="36" t="s">
        <v>273</v>
      </c>
      <c r="R103" s="36"/>
    </row>
    <row r="104" spans="1:18" x14ac:dyDescent="0.25">
      <c r="A104">
        <v>102</v>
      </c>
      <c r="B104" s="72" t="s">
        <v>265</v>
      </c>
      <c r="C104" s="72" t="s">
        <v>233</v>
      </c>
      <c r="D104" s="72" t="s">
        <v>221</v>
      </c>
      <c r="E104" s="1" t="s">
        <v>222</v>
      </c>
      <c r="F104" s="43">
        <v>27299</v>
      </c>
      <c r="G104" s="2">
        <f t="shared" ca="1" si="3"/>
        <v>51</v>
      </c>
      <c r="H104" s="2" t="s">
        <v>297</v>
      </c>
      <c r="I104" s="2" t="s">
        <v>297</v>
      </c>
      <c r="J104" s="2" t="s">
        <v>297</v>
      </c>
      <c r="K104" s="2" t="s">
        <v>297</v>
      </c>
      <c r="L104" s="2" t="s">
        <v>297</v>
      </c>
      <c r="M104" s="2" t="s">
        <v>297</v>
      </c>
      <c r="N104" s="2" t="s">
        <v>249</v>
      </c>
      <c r="O104" s="2" t="s">
        <v>249</v>
      </c>
      <c r="P104" s="93" t="s">
        <v>249</v>
      </c>
      <c r="Q104" s="93" t="s">
        <v>249</v>
      </c>
      <c r="R104" s="93"/>
    </row>
    <row r="105" spans="1:18" x14ac:dyDescent="0.25">
      <c r="A105">
        <v>103</v>
      </c>
      <c r="B105" s="72" t="s">
        <v>265</v>
      </c>
      <c r="C105" s="72" t="s">
        <v>27</v>
      </c>
      <c r="D105" s="72" t="s">
        <v>399</v>
      </c>
      <c r="E105" s="1" t="s">
        <v>400</v>
      </c>
      <c r="F105" s="43">
        <v>34378</v>
      </c>
      <c r="G105" s="2">
        <f t="shared" ca="1" si="3"/>
        <v>32</v>
      </c>
      <c r="H105" s="2" t="s">
        <v>297</v>
      </c>
      <c r="I105" s="2" t="s">
        <v>297</v>
      </c>
      <c r="J105" s="2" t="s">
        <v>297</v>
      </c>
      <c r="K105" s="2" t="s">
        <v>297</v>
      </c>
      <c r="L105" s="2" t="s">
        <v>297</v>
      </c>
      <c r="M105" s="2" t="s">
        <v>297</v>
      </c>
      <c r="N105" s="2" t="s">
        <v>297</v>
      </c>
      <c r="O105" s="2" t="s">
        <v>297</v>
      </c>
      <c r="P105" s="2" t="s">
        <v>297</v>
      </c>
      <c r="Q105" s="93" t="s">
        <v>273</v>
      </c>
      <c r="R105" s="93"/>
    </row>
    <row r="106" spans="1:18" x14ac:dyDescent="0.25">
      <c r="A106">
        <v>104</v>
      </c>
      <c r="B106" s="72" t="s">
        <v>265</v>
      </c>
      <c r="C106" s="72" t="s">
        <v>29</v>
      </c>
      <c r="D106" s="72" t="s">
        <v>202</v>
      </c>
      <c r="E106" s="1" t="s">
        <v>203</v>
      </c>
      <c r="F106" s="43">
        <v>34152</v>
      </c>
      <c r="G106" s="2">
        <f t="shared" ca="1" si="3"/>
        <v>32</v>
      </c>
      <c r="H106" s="2" t="s">
        <v>297</v>
      </c>
      <c r="I106" s="2" t="s">
        <v>297</v>
      </c>
      <c r="J106" s="2" t="s">
        <v>297</v>
      </c>
      <c r="K106" s="2" t="s">
        <v>297</v>
      </c>
      <c r="L106" s="2" t="s">
        <v>297</v>
      </c>
      <c r="M106" s="2" t="s">
        <v>249</v>
      </c>
      <c r="N106" s="2" t="s">
        <v>244</v>
      </c>
      <c r="O106" s="2" t="s">
        <v>244</v>
      </c>
      <c r="P106" s="36" t="s">
        <v>244</v>
      </c>
      <c r="Q106" s="36" t="s">
        <v>244</v>
      </c>
      <c r="R106" s="36"/>
    </row>
    <row r="107" spans="1:18" x14ac:dyDescent="0.25">
      <c r="A107">
        <v>105</v>
      </c>
      <c r="B107" s="72" t="s">
        <v>265</v>
      </c>
      <c r="C107" s="72" t="s">
        <v>205</v>
      </c>
      <c r="D107" s="72" t="s">
        <v>204</v>
      </c>
      <c r="E107" s="1" t="s">
        <v>206</v>
      </c>
      <c r="F107" s="43">
        <v>33567</v>
      </c>
      <c r="G107" s="2">
        <f t="shared" ca="1" si="3"/>
        <v>34</v>
      </c>
      <c r="H107" s="2" t="s">
        <v>297</v>
      </c>
      <c r="I107" s="2" t="s">
        <v>297</v>
      </c>
      <c r="J107" s="2" t="s">
        <v>297</v>
      </c>
      <c r="K107" s="2" t="s">
        <v>297</v>
      </c>
      <c r="L107" s="2" t="s">
        <v>297</v>
      </c>
      <c r="M107" s="2" t="s">
        <v>244</v>
      </c>
      <c r="N107" s="2" t="s">
        <v>244</v>
      </c>
      <c r="O107" s="2" t="s">
        <v>244</v>
      </c>
      <c r="P107" s="36" t="s">
        <v>244</v>
      </c>
      <c r="Q107" s="36" t="s">
        <v>244</v>
      </c>
      <c r="R107" s="36"/>
    </row>
    <row r="108" spans="1:18" x14ac:dyDescent="0.25">
      <c r="A108">
        <v>106</v>
      </c>
      <c r="B108" s="72" t="s">
        <v>266</v>
      </c>
      <c r="C108" s="72" t="s">
        <v>286</v>
      </c>
      <c r="D108" s="79" t="s">
        <v>199</v>
      </c>
      <c r="E108" s="1" t="s">
        <v>207</v>
      </c>
      <c r="F108" s="43">
        <v>34339</v>
      </c>
      <c r="G108" s="2">
        <f t="shared" ca="1" si="3"/>
        <v>32</v>
      </c>
      <c r="H108" s="2" t="s">
        <v>297</v>
      </c>
      <c r="I108" s="2" t="s">
        <v>297</v>
      </c>
      <c r="J108" s="2" t="s">
        <v>297</v>
      </c>
      <c r="K108" s="2" t="s">
        <v>297</v>
      </c>
      <c r="L108" s="2" t="s">
        <v>297</v>
      </c>
      <c r="M108" s="2" t="s">
        <v>249</v>
      </c>
      <c r="N108" s="2" t="s">
        <v>249</v>
      </c>
      <c r="O108" s="2" t="s">
        <v>273</v>
      </c>
      <c r="P108" s="93" t="s">
        <v>273</v>
      </c>
      <c r="Q108" s="93" t="s">
        <v>273</v>
      </c>
      <c r="R108" s="93"/>
    </row>
    <row r="109" spans="1:18" x14ac:dyDescent="0.25">
      <c r="A109">
        <v>107</v>
      </c>
      <c r="B109" s="72" t="s">
        <v>265</v>
      </c>
      <c r="C109" s="72" t="s">
        <v>274</v>
      </c>
      <c r="D109" s="79" t="s">
        <v>354</v>
      </c>
      <c r="E109" s="1" t="s">
        <v>355</v>
      </c>
      <c r="F109" s="43">
        <v>36047</v>
      </c>
      <c r="G109" s="2">
        <f t="shared" ca="1" si="3"/>
        <v>27</v>
      </c>
      <c r="H109" s="2" t="s">
        <v>297</v>
      </c>
      <c r="I109" s="2" t="s">
        <v>297</v>
      </c>
      <c r="J109" s="2" t="s">
        <v>297</v>
      </c>
      <c r="K109" s="2" t="s">
        <v>297</v>
      </c>
      <c r="L109" s="2" t="s">
        <v>297</v>
      </c>
      <c r="M109" s="2" t="s">
        <v>297</v>
      </c>
      <c r="N109" s="2" t="s">
        <v>297</v>
      </c>
      <c r="O109" s="2" t="s">
        <v>297</v>
      </c>
      <c r="P109" s="93" t="s">
        <v>273</v>
      </c>
      <c r="Q109" s="93" t="s">
        <v>273</v>
      </c>
      <c r="R109" s="93"/>
    </row>
    <row r="110" spans="1:18" x14ac:dyDescent="0.25">
      <c r="A110">
        <v>108</v>
      </c>
      <c r="B110" s="72" t="s">
        <v>265</v>
      </c>
      <c r="C110" s="72" t="s">
        <v>235</v>
      </c>
      <c r="D110" s="79" t="s">
        <v>228</v>
      </c>
      <c r="E110" s="1" t="s">
        <v>229</v>
      </c>
      <c r="F110" s="43">
        <v>34062</v>
      </c>
      <c r="G110" s="2">
        <f t="shared" ca="1" si="3"/>
        <v>33</v>
      </c>
      <c r="H110" s="2" t="s">
        <v>297</v>
      </c>
      <c r="I110" s="2" t="s">
        <v>297</v>
      </c>
      <c r="J110" s="2" t="s">
        <v>297</v>
      </c>
      <c r="K110" s="2" t="s">
        <v>297</v>
      </c>
      <c r="L110" s="2" t="s">
        <v>297</v>
      </c>
      <c r="M110" s="2" t="s">
        <v>297</v>
      </c>
      <c r="N110" s="2" t="s">
        <v>297</v>
      </c>
      <c r="O110" s="2" t="s">
        <v>244</v>
      </c>
      <c r="P110" s="36" t="s">
        <v>244</v>
      </c>
      <c r="Q110" s="36" t="s">
        <v>244</v>
      </c>
      <c r="R110" s="36"/>
    </row>
    <row r="111" spans="1:18" x14ac:dyDescent="0.25">
      <c r="A111">
        <v>109</v>
      </c>
      <c r="B111" s="72" t="s">
        <v>265</v>
      </c>
      <c r="C111" s="72" t="s">
        <v>274</v>
      </c>
      <c r="D111" s="79" t="s">
        <v>417</v>
      </c>
      <c r="E111" s="1" t="s">
        <v>418</v>
      </c>
      <c r="F111" s="43">
        <v>33402</v>
      </c>
      <c r="G111" s="2">
        <f t="shared" ca="1" si="3"/>
        <v>35</v>
      </c>
      <c r="H111" s="2" t="s">
        <v>297</v>
      </c>
      <c r="I111" s="2" t="s">
        <v>297</v>
      </c>
      <c r="J111" s="2" t="s">
        <v>297</v>
      </c>
      <c r="K111" s="2" t="s">
        <v>297</v>
      </c>
      <c r="L111" s="2" t="s">
        <v>297</v>
      </c>
      <c r="M111" s="2" t="s">
        <v>297</v>
      </c>
      <c r="N111" s="2" t="s">
        <v>297</v>
      </c>
      <c r="O111" s="2" t="s">
        <v>297</v>
      </c>
      <c r="P111" s="2" t="s">
        <v>297</v>
      </c>
      <c r="Q111" s="36" t="s">
        <v>272</v>
      </c>
      <c r="R111" s="36"/>
    </row>
    <row r="112" spans="1:18" x14ac:dyDescent="0.25">
      <c r="A112">
        <v>110</v>
      </c>
      <c r="B112" s="72" t="s">
        <v>266</v>
      </c>
      <c r="C112" s="72" t="s">
        <v>286</v>
      </c>
      <c r="D112" s="79" t="s">
        <v>356</v>
      </c>
      <c r="E112" s="1" t="s">
        <v>357</v>
      </c>
      <c r="F112" s="43">
        <v>37874</v>
      </c>
      <c r="G112" s="2">
        <f t="shared" ca="1" si="3"/>
        <v>22</v>
      </c>
      <c r="H112" s="2" t="s">
        <v>297</v>
      </c>
      <c r="I112" s="2" t="s">
        <v>297</v>
      </c>
      <c r="J112" s="2" t="s">
        <v>297</v>
      </c>
      <c r="K112" s="2" t="s">
        <v>297</v>
      </c>
      <c r="L112" s="2" t="s">
        <v>297</v>
      </c>
      <c r="M112" s="2" t="s">
        <v>297</v>
      </c>
      <c r="N112" s="2" t="s">
        <v>297</v>
      </c>
      <c r="O112" s="2" t="s">
        <v>297</v>
      </c>
      <c r="P112" s="36" t="s">
        <v>244</v>
      </c>
      <c r="Q112" s="36" t="s">
        <v>244</v>
      </c>
      <c r="R112" s="36"/>
    </row>
    <row r="113" spans="1:18" x14ac:dyDescent="0.25">
      <c r="A113">
        <v>111</v>
      </c>
      <c r="B113" s="72" t="s">
        <v>265</v>
      </c>
      <c r="C113" s="72" t="s">
        <v>267</v>
      </c>
      <c r="D113" s="79" t="s">
        <v>277</v>
      </c>
      <c r="E113" s="1" t="s">
        <v>278</v>
      </c>
      <c r="F113" s="43">
        <v>34706</v>
      </c>
      <c r="G113" s="2">
        <f t="shared" ca="1" si="3"/>
        <v>31</v>
      </c>
      <c r="H113" s="2" t="s">
        <v>297</v>
      </c>
      <c r="I113" s="2" t="s">
        <v>297</v>
      </c>
      <c r="J113" s="2" t="s">
        <v>297</v>
      </c>
      <c r="K113" s="2" t="s">
        <v>297</v>
      </c>
      <c r="L113" s="2" t="s">
        <v>297</v>
      </c>
      <c r="M113" s="2" t="s">
        <v>297</v>
      </c>
      <c r="N113" s="2" t="s">
        <v>297</v>
      </c>
      <c r="O113" s="2" t="s">
        <v>297</v>
      </c>
      <c r="P113" s="93" t="s">
        <v>272</v>
      </c>
      <c r="Q113" s="93" t="s">
        <v>273</v>
      </c>
      <c r="R113" s="93"/>
    </row>
    <row r="114" spans="1:18" x14ac:dyDescent="0.25">
      <c r="A114">
        <v>112</v>
      </c>
      <c r="B114" s="72" t="s">
        <v>265</v>
      </c>
      <c r="C114" s="72" t="s">
        <v>274</v>
      </c>
      <c r="D114" s="79" t="s">
        <v>236</v>
      </c>
      <c r="E114" s="1" t="s">
        <v>237</v>
      </c>
      <c r="F114" s="43">
        <v>30957</v>
      </c>
      <c r="G114" s="2">
        <f t="shared" ca="1" si="3"/>
        <v>41</v>
      </c>
      <c r="H114" s="2" t="s">
        <v>297</v>
      </c>
      <c r="I114" s="2" t="s">
        <v>297</v>
      </c>
      <c r="J114" s="2" t="s">
        <v>297</v>
      </c>
      <c r="K114" s="2" t="s">
        <v>297</v>
      </c>
      <c r="L114" s="2" t="s">
        <v>297</v>
      </c>
      <c r="M114" s="2" t="s">
        <v>297</v>
      </c>
      <c r="N114" s="2" t="s">
        <v>297</v>
      </c>
      <c r="O114" s="2" t="s">
        <v>244</v>
      </c>
      <c r="P114" s="93" t="s">
        <v>249</v>
      </c>
      <c r="Q114" s="93" t="s">
        <v>272</v>
      </c>
      <c r="R114" s="93"/>
    </row>
    <row r="115" spans="1:18" x14ac:dyDescent="0.25">
      <c r="A115">
        <v>113</v>
      </c>
      <c r="B115" s="72" t="s">
        <v>265</v>
      </c>
      <c r="C115" s="72" t="s">
        <v>233</v>
      </c>
      <c r="D115" s="79" t="s">
        <v>252</v>
      </c>
      <c r="E115" s="1" t="s">
        <v>253</v>
      </c>
      <c r="F115" s="43">
        <v>34767</v>
      </c>
      <c r="G115" s="2">
        <f t="shared" ca="1" si="3"/>
        <v>31</v>
      </c>
      <c r="H115" s="2" t="s">
        <v>297</v>
      </c>
      <c r="I115" s="2" t="s">
        <v>297</v>
      </c>
      <c r="J115" s="2" t="s">
        <v>297</v>
      </c>
      <c r="K115" s="2" t="s">
        <v>297</v>
      </c>
      <c r="L115" s="2" t="s">
        <v>297</v>
      </c>
      <c r="M115" s="2" t="s">
        <v>297</v>
      </c>
      <c r="N115" s="2" t="s">
        <v>297</v>
      </c>
      <c r="O115" s="2" t="s">
        <v>272</v>
      </c>
      <c r="P115" s="93" t="s">
        <v>272</v>
      </c>
      <c r="Q115" s="93" t="s">
        <v>272</v>
      </c>
      <c r="R115" s="93"/>
    </row>
    <row r="116" spans="1:18" x14ac:dyDescent="0.25">
      <c r="A116">
        <v>114</v>
      </c>
      <c r="B116" s="72" t="s">
        <v>265</v>
      </c>
      <c r="C116" s="72" t="s">
        <v>274</v>
      </c>
      <c r="D116" s="79" t="s">
        <v>347</v>
      </c>
      <c r="E116" s="1" t="s">
        <v>348</v>
      </c>
      <c r="F116" s="43">
        <v>33572</v>
      </c>
      <c r="G116" s="2">
        <f t="shared" ca="1" si="3"/>
        <v>34</v>
      </c>
      <c r="H116" s="2" t="s">
        <v>297</v>
      </c>
      <c r="I116" s="2" t="s">
        <v>297</v>
      </c>
      <c r="J116" s="2" t="s">
        <v>297</v>
      </c>
      <c r="K116" s="2" t="s">
        <v>297</v>
      </c>
      <c r="L116" s="2" t="s">
        <v>297</v>
      </c>
      <c r="M116" s="2" t="s">
        <v>297</v>
      </c>
      <c r="N116" s="2" t="s">
        <v>297</v>
      </c>
      <c r="O116" s="2" t="s">
        <v>297</v>
      </c>
      <c r="P116" s="36" t="s">
        <v>244</v>
      </c>
      <c r="Q116" s="36" t="s">
        <v>244</v>
      </c>
      <c r="R116" s="36"/>
    </row>
    <row r="117" spans="1:18" x14ac:dyDescent="0.25">
      <c r="A117">
        <v>115</v>
      </c>
      <c r="B117" s="72" t="s">
        <v>265</v>
      </c>
      <c r="C117" s="72" t="s">
        <v>234</v>
      </c>
      <c r="D117" s="79" t="s">
        <v>262</v>
      </c>
      <c r="E117" s="1" t="s">
        <v>263</v>
      </c>
      <c r="F117" s="43">
        <v>35017</v>
      </c>
      <c r="G117" s="2">
        <f t="shared" ca="1" si="3"/>
        <v>30</v>
      </c>
      <c r="H117" s="2" t="s">
        <v>297</v>
      </c>
      <c r="I117" s="2" t="s">
        <v>297</v>
      </c>
      <c r="J117" s="2" t="s">
        <v>297</v>
      </c>
      <c r="K117" s="2" t="s">
        <v>297</v>
      </c>
      <c r="L117" s="2" t="s">
        <v>297</v>
      </c>
      <c r="M117" s="2" t="s">
        <v>297</v>
      </c>
      <c r="N117" s="2" t="s">
        <v>297</v>
      </c>
      <c r="O117" s="2" t="s">
        <v>249</v>
      </c>
      <c r="P117" s="36" t="s">
        <v>244</v>
      </c>
      <c r="Q117" s="36" t="s">
        <v>273</v>
      </c>
      <c r="R117" s="36"/>
    </row>
    <row r="118" spans="1:18" x14ac:dyDescent="0.25">
      <c r="A118">
        <v>116</v>
      </c>
      <c r="B118" s="72" t="s">
        <v>265</v>
      </c>
      <c r="C118" s="72" t="s">
        <v>274</v>
      </c>
      <c r="D118" s="79" t="s">
        <v>407</v>
      </c>
      <c r="E118" s="1" t="s">
        <v>408</v>
      </c>
      <c r="F118" s="43">
        <v>36120</v>
      </c>
      <c r="G118" s="2">
        <f t="shared" ca="1" si="3"/>
        <v>27</v>
      </c>
      <c r="H118" s="2" t="s">
        <v>297</v>
      </c>
      <c r="I118" s="2" t="s">
        <v>297</v>
      </c>
      <c r="J118" s="2" t="s">
        <v>297</v>
      </c>
      <c r="K118" s="2" t="s">
        <v>297</v>
      </c>
      <c r="L118" s="2" t="s">
        <v>297</v>
      </c>
      <c r="M118" s="2" t="s">
        <v>297</v>
      </c>
      <c r="N118" s="2" t="s">
        <v>297</v>
      </c>
      <c r="O118" s="2" t="s">
        <v>297</v>
      </c>
      <c r="P118" s="2" t="s">
        <v>297</v>
      </c>
      <c r="Q118" s="36" t="s">
        <v>244</v>
      </c>
      <c r="R118" s="36"/>
    </row>
    <row r="119" spans="1:18" x14ac:dyDescent="0.25">
      <c r="A119">
        <v>117</v>
      </c>
      <c r="B119" s="72" t="s">
        <v>265</v>
      </c>
      <c r="C119" s="72" t="s">
        <v>274</v>
      </c>
      <c r="D119" s="79" t="s">
        <v>409</v>
      </c>
      <c r="E119" s="1" t="s">
        <v>410</v>
      </c>
      <c r="F119" s="43">
        <v>36545</v>
      </c>
      <c r="G119" s="2">
        <f t="shared" ca="1" si="3"/>
        <v>26</v>
      </c>
      <c r="H119" s="2" t="s">
        <v>297</v>
      </c>
      <c r="I119" s="2" t="s">
        <v>297</v>
      </c>
      <c r="J119" s="2" t="s">
        <v>297</v>
      </c>
      <c r="K119" s="2" t="s">
        <v>297</v>
      </c>
      <c r="L119" s="2" t="s">
        <v>297</v>
      </c>
      <c r="M119" s="2" t="s">
        <v>297</v>
      </c>
      <c r="N119" s="2" t="s">
        <v>297</v>
      </c>
      <c r="O119" s="2" t="s">
        <v>297</v>
      </c>
      <c r="P119" s="2" t="s">
        <v>297</v>
      </c>
      <c r="Q119" s="36" t="s">
        <v>273</v>
      </c>
      <c r="R119" s="36"/>
    </row>
    <row r="120" spans="1:18" x14ac:dyDescent="0.25">
      <c r="A120">
        <v>118</v>
      </c>
      <c r="B120" s="72" t="s">
        <v>266</v>
      </c>
      <c r="C120" s="72" t="s">
        <v>286</v>
      </c>
      <c r="D120" s="79" t="s">
        <v>254</v>
      </c>
      <c r="E120" s="1" t="s">
        <v>255</v>
      </c>
      <c r="F120" s="43">
        <v>34767</v>
      </c>
      <c r="G120" s="2">
        <f t="shared" ca="1" si="3"/>
        <v>31</v>
      </c>
      <c r="H120" s="2" t="s">
        <v>297</v>
      </c>
      <c r="I120" s="2" t="s">
        <v>297</v>
      </c>
      <c r="J120" s="2" t="s">
        <v>297</v>
      </c>
      <c r="K120" s="2" t="s">
        <v>297</v>
      </c>
      <c r="L120" s="2" t="s">
        <v>297</v>
      </c>
      <c r="M120" s="2" t="s">
        <v>297</v>
      </c>
      <c r="N120" s="2" t="s">
        <v>297</v>
      </c>
      <c r="O120" s="2" t="s">
        <v>244</v>
      </c>
      <c r="P120" s="36" t="s">
        <v>244</v>
      </c>
      <c r="Q120" s="36" t="s">
        <v>244</v>
      </c>
      <c r="R120" s="36"/>
    </row>
    <row r="121" spans="1:18" x14ac:dyDescent="0.25">
      <c r="A121">
        <v>119</v>
      </c>
      <c r="B121" s="72" t="s">
        <v>265</v>
      </c>
      <c r="C121" s="72" t="s">
        <v>205</v>
      </c>
      <c r="D121" s="79" t="s">
        <v>384</v>
      </c>
      <c r="E121" s="1" t="s">
        <v>385</v>
      </c>
      <c r="F121" s="43">
        <v>36748</v>
      </c>
      <c r="G121" s="2">
        <f t="shared" ca="1" si="3"/>
        <v>25</v>
      </c>
      <c r="H121" s="2" t="s">
        <v>297</v>
      </c>
      <c r="I121" s="2" t="s">
        <v>297</v>
      </c>
      <c r="J121" s="2" t="s">
        <v>297</v>
      </c>
      <c r="K121" s="2" t="s">
        <v>297</v>
      </c>
      <c r="L121" s="2" t="s">
        <v>297</v>
      </c>
      <c r="M121" s="2" t="s">
        <v>297</v>
      </c>
      <c r="N121" s="2" t="s">
        <v>297</v>
      </c>
      <c r="O121" s="2" t="s">
        <v>297</v>
      </c>
      <c r="P121" s="2" t="s">
        <v>297</v>
      </c>
      <c r="Q121" s="36" t="s">
        <v>244</v>
      </c>
      <c r="R121" s="36"/>
    </row>
    <row r="122" spans="1:18" x14ac:dyDescent="0.25">
      <c r="A122">
        <v>120</v>
      </c>
      <c r="B122" s="72" t="s">
        <v>265</v>
      </c>
      <c r="C122" s="72" t="s">
        <v>226</v>
      </c>
      <c r="D122" s="79" t="s">
        <v>279</v>
      </c>
      <c r="E122" s="1" t="s">
        <v>280</v>
      </c>
      <c r="F122" s="43">
        <v>33647</v>
      </c>
      <c r="G122" s="2">
        <f t="shared" ref="G122:G142" ca="1" si="4">DATEDIF(F122,TODAY(),"Y")</f>
        <v>34</v>
      </c>
      <c r="H122" s="2" t="s">
        <v>297</v>
      </c>
      <c r="I122" s="2" t="s">
        <v>297</v>
      </c>
      <c r="J122" s="2" t="s">
        <v>297</v>
      </c>
      <c r="K122" s="2" t="s">
        <v>297</v>
      </c>
      <c r="L122" s="2" t="s">
        <v>297</v>
      </c>
      <c r="M122" s="2" t="s">
        <v>297</v>
      </c>
      <c r="N122" s="2" t="s">
        <v>297</v>
      </c>
      <c r="O122" s="2" t="s">
        <v>249</v>
      </c>
      <c r="P122" s="36" t="s">
        <v>244</v>
      </c>
      <c r="Q122" s="36" t="s">
        <v>244</v>
      </c>
      <c r="R122" s="36"/>
    </row>
    <row r="123" spans="1:18" x14ac:dyDescent="0.25">
      <c r="A123">
        <v>121</v>
      </c>
      <c r="B123" s="72" t="s">
        <v>265</v>
      </c>
      <c r="C123" s="72" t="s">
        <v>274</v>
      </c>
      <c r="D123" s="79" t="s">
        <v>349</v>
      </c>
      <c r="E123" s="90" t="s">
        <v>353</v>
      </c>
      <c r="F123" s="43">
        <v>32314</v>
      </c>
      <c r="G123" s="2">
        <f t="shared" ca="1" si="4"/>
        <v>37</v>
      </c>
      <c r="H123" s="2" t="s">
        <v>297</v>
      </c>
      <c r="I123" s="2" t="s">
        <v>297</v>
      </c>
      <c r="J123" s="2" t="s">
        <v>297</v>
      </c>
      <c r="K123" s="2" t="s">
        <v>297</v>
      </c>
      <c r="L123" s="2" t="s">
        <v>297</v>
      </c>
      <c r="M123" s="2" t="s">
        <v>297</v>
      </c>
      <c r="N123" s="2" t="s">
        <v>297</v>
      </c>
      <c r="O123" s="2" t="s">
        <v>297</v>
      </c>
      <c r="P123" s="36" t="s">
        <v>244</v>
      </c>
      <c r="Q123" s="36" t="s">
        <v>244</v>
      </c>
      <c r="R123" s="36"/>
    </row>
    <row r="124" spans="1:18" x14ac:dyDescent="0.25">
      <c r="A124">
        <v>122</v>
      </c>
      <c r="B124" s="72" t="s">
        <v>265</v>
      </c>
      <c r="C124" s="72" t="s">
        <v>274</v>
      </c>
      <c r="D124" s="79" t="s">
        <v>258</v>
      </c>
      <c r="E124" s="1" t="s">
        <v>261</v>
      </c>
      <c r="F124" s="43">
        <v>32221</v>
      </c>
      <c r="G124" s="2">
        <f t="shared" ca="1" si="4"/>
        <v>38</v>
      </c>
      <c r="H124" s="2" t="s">
        <v>297</v>
      </c>
      <c r="I124" s="2" t="s">
        <v>297</v>
      </c>
      <c r="J124" s="2" t="s">
        <v>297</v>
      </c>
      <c r="K124" s="2" t="s">
        <v>297</v>
      </c>
      <c r="L124" s="2" t="s">
        <v>297</v>
      </c>
      <c r="M124" s="2" t="s">
        <v>297</v>
      </c>
      <c r="N124" s="2" t="s">
        <v>297</v>
      </c>
      <c r="O124" s="2" t="s">
        <v>244</v>
      </c>
      <c r="P124" s="36" t="s">
        <v>244</v>
      </c>
      <c r="Q124" s="36" t="s">
        <v>244</v>
      </c>
      <c r="R124" s="36"/>
    </row>
    <row r="125" spans="1:18" x14ac:dyDescent="0.25">
      <c r="A125">
        <v>123</v>
      </c>
      <c r="B125" s="72" t="s">
        <v>265</v>
      </c>
      <c r="C125" s="72" t="s">
        <v>284</v>
      </c>
      <c r="D125" s="79" t="s">
        <v>351</v>
      </c>
      <c r="E125" s="1" t="s">
        <v>352</v>
      </c>
      <c r="F125" s="43">
        <v>36557</v>
      </c>
      <c r="G125" s="2">
        <f t="shared" ca="1" si="4"/>
        <v>26</v>
      </c>
      <c r="H125" s="2" t="s">
        <v>297</v>
      </c>
      <c r="I125" s="2" t="s">
        <v>297</v>
      </c>
      <c r="J125" s="2" t="s">
        <v>297</v>
      </c>
      <c r="K125" s="2" t="s">
        <v>297</v>
      </c>
      <c r="L125" s="2" t="s">
        <v>297</v>
      </c>
      <c r="M125" s="2" t="s">
        <v>297</v>
      </c>
      <c r="N125" s="2" t="s">
        <v>297</v>
      </c>
      <c r="O125" s="2" t="s">
        <v>297</v>
      </c>
      <c r="P125" s="36" t="s">
        <v>244</v>
      </c>
      <c r="Q125" s="36" t="s">
        <v>273</v>
      </c>
      <c r="R125" s="36"/>
    </row>
    <row r="126" spans="1:18" x14ac:dyDescent="0.25">
      <c r="A126">
        <v>124</v>
      </c>
      <c r="B126" s="72" t="s">
        <v>265</v>
      </c>
      <c r="C126" s="72" t="s">
        <v>274</v>
      </c>
      <c r="D126" s="79" t="s">
        <v>281</v>
      </c>
      <c r="E126" s="1" t="s">
        <v>282</v>
      </c>
      <c r="F126" s="43">
        <v>32663</v>
      </c>
      <c r="G126" s="2">
        <f t="shared" ca="1" si="4"/>
        <v>37</v>
      </c>
      <c r="H126" s="2" t="s">
        <v>297</v>
      </c>
      <c r="I126" s="2" t="s">
        <v>297</v>
      </c>
      <c r="J126" s="2" t="s">
        <v>297</v>
      </c>
      <c r="K126" s="2" t="s">
        <v>297</v>
      </c>
      <c r="L126" s="2" t="s">
        <v>297</v>
      </c>
      <c r="M126" s="2" t="s">
        <v>297</v>
      </c>
      <c r="N126" s="2" t="s">
        <v>297</v>
      </c>
      <c r="O126" s="2" t="s">
        <v>297</v>
      </c>
      <c r="P126" s="93" t="s">
        <v>273</v>
      </c>
      <c r="Q126" s="93" t="s">
        <v>273</v>
      </c>
      <c r="R126" s="93"/>
    </row>
    <row r="127" spans="1:18" x14ac:dyDescent="0.25">
      <c r="A127">
        <v>125</v>
      </c>
      <c r="B127" s="72" t="s">
        <v>265</v>
      </c>
      <c r="C127" s="72" t="s">
        <v>226</v>
      </c>
      <c r="D127" s="79" t="s">
        <v>386</v>
      </c>
      <c r="E127" s="1" t="s">
        <v>387</v>
      </c>
      <c r="F127" s="43">
        <v>35674</v>
      </c>
      <c r="G127" s="2">
        <f t="shared" ca="1" si="4"/>
        <v>28</v>
      </c>
      <c r="H127" s="2" t="s">
        <v>297</v>
      </c>
      <c r="I127" s="2" t="s">
        <v>297</v>
      </c>
      <c r="J127" s="2" t="s">
        <v>297</v>
      </c>
      <c r="K127" s="2" t="s">
        <v>297</v>
      </c>
      <c r="L127" s="2" t="s">
        <v>297</v>
      </c>
      <c r="M127" s="2" t="s">
        <v>297</v>
      </c>
      <c r="N127" s="2" t="s">
        <v>297</v>
      </c>
      <c r="O127" s="2" t="s">
        <v>297</v>
      </c>
      <c r="P127" s="2" t="s">
        <v>297</v>
      </c>
      <c r="Q127" s="93" t="s">
        <v>244</v>
      </c>
      <c r="R127" s="93"/>
    </row>
    <row r="128" spans="1:18" x14ac:dyDescent="0.25">
      <c r="A128">
        <v>126</v>
      </c>
      <c r="B128" s="72" t="s">
        <v>265</v>
      </c>
      <c r="C128" s="72" t="s">
        <v>226</v>
      </c>
      <c r="D128" s="79" t="s">
        <v>423</v>
      </c>
      <c r="E128" s="1" t="s">
        <v>420</v>
      </c>
      <c r="F128" s="43">
        <v>35540</v>
      </c>
      <c r="G128" s="2">
        <f t="shared" ca="1" si="4"/>
        <v>29</v>
      </c>
      <c r="H128" s="2" t="s">
        <v>297</v>
      </c>
      <c r="I128" s="2" t="s">
        <v>297</v>
      </c>
      <c r="J128" s="2" t="s">
        <v>297</v>
      </c>
      <c r="K128" s="2" t="s">
        <v>297</v>
      </c>
      <c r="L128" s="2" t="s">
        <v>297</v>
      </c>
      <c r="M128" s="2" t="s">
        <v>297</v>
      </c>
      <c r="N128" s="2" t="s">
        <v>297</v>
      </c>
      <c r="O128" s="2" t="s">
        <v>297</v>
      </c>
      <c r="P128" s="2" t="s">
        <v>297</v>
      </c>
      <c r="Q128" s="93" t="s">
        <v>244</v>
      </c>
      <c r="R128" s="93"/>
    </row>
    <row r="129" spans="1:18" x14ac:dyDescent="0.25">
      <c r="A129">
        <v>127</v>
      </c>
      <c r="B129" s="72" t="s">
        <v>265</v>
      </c>
      <c r="C129" s="72" t="s">
        <v>226</v>
      </c>
      <c r="D129" s="79" t="s">
        <v>424</v>
      </c>
      <c r="E129" s="1" t="s">
        <v>389</v>
      </c>
      <c r="F129" s="43">
        <v>36610</v>
      </c>
      <c r="G129" s="2">
        <f t="shared" ca="1" si="4"/>
        <v>26</v>
      </c>
      <c r="H129" s="2" t="s">
        <v>297</v>
      </c>
      <c r="I129" s="2" t="s">
        <v>297</v>
      </c>
      <c r="J129" s="2" t="s">
        <v>297</v>
      </c>
      <c r="K129" s="2" t="s">
        <v>297</v>
      </c>
      <c r="L129" s="2" t="s">
        <v>297</v>
      </c>
      <c r="M129" s="2" t="s">
        <v>297</v>
      </c>
      <c r="N129" s="2" t="s">
        <v>297</v>
      </c>
      <c r="O129" s="2" t="s">
        <v>297</v>
      </c>
      <c r="P129" s="2" t="s">
        <v>297</v>
      </c>
      <c r="Q129" s="93" t="s">
        <v>244</v>
      </c>
      <c r="R129" s="93"/>
    </row>
    <row r="130" spans="1:18" s="91" customFormat="1" x14ac:dyDescent="0.25">
      <c r="A130">
        <v>128</v>
      </c>
      <c r="B130" s="33" t="s">
        <v>265</v>
      </c>
      <c r="C130" s="33" t="s">
        <v>168</v>
      </c>
      <c r="D130" s="44" t="s">
        <v>380</v>
      </c>
      <c r="E130" s="88" t="s">
        <v>381</v>
      </c>
      <c r="F130" s="92">
        <v>37204</v>
      </c>
      <c r="G130" s="2">
        <f t="shared" ca="1" si="4"/>
        <v>24</v>
      </c>
      <c r="H130" s="2" t="s">
        <v>297</v>
      </c>
      <c r="I130" s="2" t="s">
        <v>297</v>
      </c>
      <c r="J130" s="2" t="s">
        <v>297</v>
      </c>
      <c r="K130" s="2" t="s">
        <v>297</v>
      </c>
      <c r="L130" s="2" t="s">
        <v>297</v>
      </c>
      <c r="M130" s="2" t="s">
        <v>297</v>
      </c>
      <c r="N130" s="2" t="s">
        <v>297</v>
      </c>
      <c r="O130" s="2" t="s">
        <v>297</v>
      </c>
      <c r="P130" s="36" t="s">
        <v>249</v>
      </c>
      <c r="Q130" s="36" t="s">
        <v>244</v>
      </c>
      <c r="R130" s="36"/>
    </row>
    <row r="131" spans="1:18" s="91" customFormat="1" x14ac:dyDescent="0.25">
      <c r="A131">
        <v>129</v>
      </c>
      <c r="B131" s="33" t="s">
        <v>265</v>
      </c>
      <c r="C131" s="33" t="s">
        <v>226</v>
      </c>
      <c r="D131" s="44" t="s">
        <v>390</v>
      </c>
      <c r="E131" s="88" t="s">
        <v>392</v>
      </c>
      <c r="F131" s="92">
        <v>37148</v>
      </c>
      <c r="G131" s="2">
        <f t="shared" ca="1" si="4"/>
        <v>24</v>
      </c>
      <c r="H131" s="2" t="s">
        <v>297</v>
      </c>
      <c r="I131" s="2" t="s">
        <v>297</v>
      </c>
      <c r="J131" s="2" t="s">
        <v>297</v>
      </c>
      <c r="K131" s="2" t="s">
        <v>297</v>
      </c>
      <c r="L131" s="2" t="s">
        <v>297</v>
      </c>
      <c r="M131" s="2" t="s">
        <v>297</v>
      </c>
      <c r="N131" s="2" t="s">
        <v>297</v>
      </c>
      <c r="O131" s="2" t="s">
        <v>297</v>
      </c>
      <c r="P131" s="2" t="s">
        <v>297</v>
      </c>
      <c r="Q131" s="36" t="s">
        <v>273</v>
      </c>
      <c r="R131" s="36"/>
    </row>
    <row r="132" spans="1:18" s="91" customFormat="1" x14ac:dyDescent="0.25">
      <c r="A132">
        <v>130</v>
      </c>
      <c r="B132" s="33" t="s">
        <v>265</v>
      </c>
      <c r="C132" s="33" t="s">
        <v>226</v>
      </c>
      <c r="D132" s="44" t="s">
        <v>391</v>
      </c>
      <c r="E132" s="88" t="s">
        <v>393</v>
      </c>
      <c r="F132" s="92">
        <v>30656</v>
      </c>
      <c r="G132" s="2">
        <f t="shared" ca="1" si="4"/>
        <v>42</v>
      </c>
      <c r="H132" s="2" t="s">
        <v>297</v>
      </c>
      <c r="I132" s="2" t="s">
        <v>297</v>
      </c>
      <c r="J132" s="2" t="s">
        <v>297</v>
      </c>
      <c r="K132" s="2" t="s">
        <v>297</v>
      </c>
      <c r="L132" s="2" t="s">
        <v>297</v>
      </c>
      <c r="M132" s="2" t="s">
        <v>297</v>
      </c>
      <c r="N132" s="2" t="s">
        <v>297</v>
      </c>
      <c r="O132" s="2" t="s">
        <v>297</v>
      </c>
      <c r="P132" s="2" t="s">
        <v>297</v>
      </c>
      <c r="Q132" s="36" t="s">
        <v>272</v>
      </c>
      <c r="R132" s="36"/>
    </row>
    <row r="133" spans="1:18" s="91" customFormat="1" x14ac:dyDescent="0.25">
      <c r="A133">
        <v>131</v>
      </c>
      <c r="B133" s="33" t="s">
        <v>265</v>
      </c>
      <c r="C133" s="33" t="s">
        <v>226</v>
      </c>
      <c r="D133" s="44" t="s">
        <v>411</v>
      </c>
      <c r="E133" s="88" t="s">
        <v>412</v>
      </c>
      <c r="F133" s="92">
        <v>36822</v>
      </c>
      <c r="G133" s="2">
        <f t="shared" ca="1" si="4"/>
        <v>25</v>
      </c>
      <c r="H133" s="2" t="s">
        <v>297</v>
      </c>
      <c r="I133" s="2" t="s">
        <v>297</v>
      </c>
      <c r="J133" s="2" t="s">
        <v>297</v>
      </c>
      <c r="K133" s="2" t="s">
        <v>297</v>
      </c>
      <c r="L133" s="2" t="s">
        <v>297</v>
      </c>
      <c r="M133" s="2" t="s">
        <v>297</v>
      </c>
      <c r="N133" s="2" t="s">
        <v>297</v>
      </c>
      <c r="O133" s="2" t="s">
        <v>297</v>
      </c>
      <c r="P133" s="2" t="s">
        <v>297</v>
      </c>
      <c r="Q133" s="36" t="s">
        <v>244</v>
      </c>
      <c r="R133" s="36"/>
    </row>
    <row r="134" spans="1:18" s="91" customFormat="1" x14ac:dyDescent="0.25">
      <c r="A134">
        <v>132</v>
      </c>
      <c r="B134" s="33" t="s">
        <v>265</v>
      </c>
      <c r="C134" s="33" t="s">
        <v>267</v>
      </c>
      <c r="D134" s="44" t="s">
        <v>403</v>
      </c>
      <c r="E134" s="88" t="s">
        <v>404</v>
      </c>
      <c r="F134" s="92">
        <v>33851</v>
      </c>
      <c r="G134" s="2">
        <f t="shared" ca="1" si="4"/>
        <v>33</v>
      </c>
      <c r="H134" s="2" t="s">
        <v>297</v>
      </c>
      <c r="I134" s="2" t="s">
        <v>297</v>
      </c>
      <c r="J134" s="2" t="s">
        <v>297</v>
      </c>
      <c r="K134" s="2" t="s">
        <v>297</v>
      </c>
      <c r="L134" s="2" t="s">
        <v>297</v>
      </c>
      <c r="M134" s="2" t="s">
        <v>297</v>
      </c>
      <c r="N134" s="2" t="s">
        <v>297</v>
      </c>
      <c r="O134" s="2" t="s">
        <v>297</v>
      </c>
      <c r="P134" s="2" t="s">
        <v>297</v>
      </c>
      <c r="Q134" s="36" t="s">
        <v>273</v>
      </c>
      <c r="R134" s="36"/>
    </row>
    <row r="135" spans="1:18" s="91" customFormat="1" x14ac:dyDescent="0.25">
      <c r="A135">
        <v>133</v>
      </c>
      <c r="B135" s="33" t="s">
        <v>265</v>
      </c>
      <c r="C135" s="33" t="s">
        <v>398</v>
      </c>
      <c r="D135" s="44" t="s">
        <v>394</v>
      </c>
      <c r="E135" s="88" t="s">
        <v>395</v>
      </c>
      <c r="F135" s="92">
        <v>31747</v>
      </c>
      <c r="G135" s="2">
        <f ca="1">DATEDIF(F135,TODAY(),"Y")</f>
        <v>39</v>
      </c>
      <c r="H135" s="2" t="s">
        <v>297</v>
      </c>
      <c r="I135" s="2" t="s">
        <v>297</v>
      </c>
      <c r="J135" s="2" t="s">
        <v>297</v>
      </c>
      <c r="K135" s="2" t="s">
        <v>297</v>
      </c>
      <c r="L135" s="2" t="s">
        <v>297</v>
      </c>
      <c r="M135" s="2" t="s">
        <v>297</v>
      </c>
      <c r="N135" s="2" t="s">
        <v>297</v>
      </c>
      <c r="O135" s="2" t="s">
        <v>297</v>
      </c>
      <c r="P135" s="2" t="s">
        <v>297</v>
      </c>
      <c r="Q135" s="36" t="s">
        <v>244</v>
      </c>
      <c r="R135" s="36"/>
    </row>
    <row r="136" spans="1:18" s="91" customFormat="1" x14ac:dyDescent="0.25">
      <c r="A136">
        <v>134</v>
      </c>
      <c r="B136" s="33" t="s">
        <v>265</v>
      </c>
      <c r="C136" s="33" t="s">
        <v>398</v>
      </c>
      <c r="D136" s="44" t="s">
        <v>396</v>
      </c>
      <c r="E136" s="88" t="s">
        <v>397</v>
      </c>
      <c r="F136" s="92">
        <v>33900</v>
      </c>
      <c r="G136" s="2">
        <f t="shared" ca="1" si="4"/>
        <v>33</v>
      </c>
      <c r="H136" s="2" t="s">
        <v>297</v>
      </c>
      <c r="I136" s="2" t="s">
        <v>297</v>
      </c>
      <c r="J136" s="2" t="s">
        <v>297</v>
      </c>
      <c r="K136" s="2" t="s">
        <v>297</v>
      </c>
      <c r="L136" s="2" t="s">
        <v>297</v>
      </c>
      <c r="M136" s="2" t="s">
        <v>297</v>
      </c>
      <c r="N136" s="2" t="s">
        <v>297</v>
      </c>
      <c r="O136" s="2" t="s">
        <v>297</v>
      </c>
      <c r="P136" s="2" t="s">
        <v>297</v>
      </c>
      <c r="Q136" s="36" t="s">
        <v>244</v>
      </c>
      <c r="R136" s="36"/>
    </row>
    <row r="137" spans="1:18" s="91" customFormat="1" x14ac:dyDescent="0.25">
      <c r="A137">
        <v>135</v>
      </c>
      <c r="B137" s="33" t="s">
        <v>266</v>
      </c>
      <c r="C137" s="33" t="s">
        <v>286</v>
      </c>
      <c r="D137" s="44" t="s">
        <v>401</v>
      </c>
      <c r="E137" s="88" t="s">
        <v>402</v>
      </c>
      <c r="F137" s="92">
        <v>35300</v>
      </c>
      <c r="G137" s="2">
        <f t="shared" ca="1" si="4"/>
        <v>29</v>
      </c>
      <c r="H137" s="2" t="s">
        <v>297</v>
      </c>
      <c r="I137" s="2" t="s">
        <v>297</v>
      </c>
      <c r="J137" s="2" t="s">
        <v>297</v>
      </c>
      <c r="K137" s="2" t="s">
        <v>297</v>
      </c>
      <c r="L137" s="2" t="s">
        <v>297</v>
      </c>
      <c r="M137" s="2" t="s">
        <v>297</v>
      </c>
      <c r="N137" s="2" t="s">
        <v>297</v>
      </c>
      <c r="O137" s="2" t="s">
        <v>297</v>
      </c>
      <c r="P137" s="2" t="s">
        <v>297</v>
      </c>
      <c r="Q137" s="36" t="s">
        <v>272</v>
      </c>
      <c r="R137" s="36"/>
    </row>
    <row r="138" spans="1:18" s="91" customFormat="1" x14ac:dyDescent="0.25">
      <c r="A138">
        <v>136</v>
      </c>
      <c r="B138" s="33" t="s">
        <v>266</v>
      </c>
      <c r="C138" s="33" t="s">
        <v>286</v>
      </c>
      <c r="D138" s="44" t="s">
        <v>421</v>
      </c>
      <c r="E138" s="88" t="s">
        <v>422</v>
      </c>
      <c r="F138" s="92">
        <v>36790</v>
      </c>
      <c r="G138" s="2">
        <f t="shared" ca="1" si="4"/>
        <v>25</v>
      </c>
      <c r="H138" s="2" t="s">
        <v>297</v>
      </c>
      <c r="I138" s="2" t="s">
        <v>297</v>
      </c>
      <c r="J138" s="2" t="s">
        <v>297</v>
      </c>
      <c r="K138" s="2" t="s">
        <v>297</v>
      </c>
      <c r="L138" s="2" t="s">
        <v>297</v>
      </c>
      <c r="M138" s="2" t="s">
        <v>297</v>
      </c>
      <c r="N138" s="2" t="s">
        <v>297</v>
      </c>
      <c r="O138" s="2" t="s">
        <v>297</v>
      </c>
      <c r="P138" s="2" t="s">
        <v>297</v>
      </c>
      <c r="Q138" s="36" t="s">
        <v>244</v>
      </c>
      <c r="R138" s="36"/>
    </row>
    <row r="139" spans="1:18" x14ac:dyDescent="0.25">
      <c r="A139">
        <v>137</v>
      </c>
      <c r="B139" s="72" t="s">
        <v>290</v>
      </c>
      <c r="C139" s="72" t="s">
        <v>233</v>
      </c>
      <c r="D139" s="79" t="s">
        <v>291</v>
      </c>
      <c r="E139" s="1" t="s">
        <v>294</v>
      </c>
      <c r="F139" s="43">
        <v>27234</v>
      </c>
      <c r="G139" s="2">
        <f t="shared" ca="1" si="4"/>
        <v>51</v>
      </c>
      <c r="H139" s="2" t="s">
        <v>297</v>
      </c>
      <c r="I139" s="2" t="s">
        <v>297</v>
      </c>
      <c r="J139" s="2" t="s">
        <v>297</v>
      </c>
      <c r="K139" s="2" t="s">
        <v>297</v>
      </c>
      <c r="L139" s="2" t="s">
        <v>297</v>
      </c>
      <c r="M139" s="2" t="s">
        <v>297</v>
      </c>
      <c r="N139" s="2" t="s">
        <v>297</v>
      </c>
      <c r="O139" s="2" t="s">
        <v>297</v>
      </c>
      <c r="P139" s="36" t="s">
        <v>249</v>
      </c>
      <c r="Q139" s="36" t="s">
        <v>249</v>
      </c>
      <c r="R139" s="36"/>
    </row>
    <row r="140" spans="1:18" x14ac:dyDescent="0.25">
      <c r="A140">
        <v>138</v>
      </c>
      <c r="B140" s="72" t="s">
        <v>290</v>
      </c>
      <c r="C140" s="72" t="s">
        <v>233</v>
      </c>
      <c r="D140" s="79" t="s">
        <v>291</v>
      </c>
      <c r="E140" s="1" t="s">
        <v>292</v>
      </c>
      <c r="F140" s="43">
        <v>33472</v>
      </c>
      <c r="G140" s="2">
        <f t="shared" ca="1" si="4"/>
        <v>34</v>
      </c>
      <c r="H140" s="2" t="s">
        <v>272</v>
      </c>
      <c r="I140" s="2" t="s">
        <v>272</v>
      </c>
      <c r="J140" s="2" t="s">
        <v>272</v>
      </c>
      <c r="K140" s="2" t="s">
        <v>272</v>
      </c>
      <c r="L140" s="2" t="s">
        <v>272</v>
      </c>
      <c r="M140" s="2" t="s">
        <v>273</v>
      </c>
      <c r="N140" s="2" t="s">
        <v>297</v>
      </c>
      <c r="O140" s="2" t="s">
        <v>297</v>
      </c>
      <c r="P140" s="36" t="s">
        <v>272</v>
      </c>
      <c r="Q140" s="36" t="s">
        <v>272</v>
      </c>
      <c r="R140" s="36"/>
    </row>
    <row r="141" spans="1:18" x14ac:dyDescent="0.25">
      <c r="A141">
        <v>139</v>
      </c>
      <c r="B141" s="72" t="s">
        <v>290</v>
      </c>
      <c r="C141" s="72" t="s">
        <v>233</v>
      </c>
      <c r="D141" s="79" t="s">
        <v>291</v>
      </c>
      <c r="E141" s="1" t="s">
        <v>293</v>
      </c>
      <c r="F141" s="43">
        <v>27719</v>
      </c>
      <c r="G141" s="2">
        <f t="shared" ca="1" si="4"/>
        <v>50</v>
      </c>
      <c r="H141" s="2" t="s">
        <v>244</v>
      </c>
      <c r="I141" s="2" t="s">
        <v>244</v>
      </c>
      <c r="J141" s="2" t="s">
        <v>244</v>
      </c>
      <c r="K141" s="2" t="s">
        <v>244</v>
      </c>
      <c r="L141" s="2" t="s">
        <v>272</v>
      </c>
      <c r="M141" s="2" t="s">
        <v>244</v>
      </c>
      <c r="N141" s="2" t="s">
        <v>297</v>
      </c>
      <c r="O141" s="2" t="s">
        <v>297</v>
      </c>
      <c r="P141" s="36" t="s">
        <v>244</v>
      </c>
      <c r="Q141" s="36" t="s">
        <v>244</v>
      </c>
      <c r="R141" s="36"/>
    </row>
    <row r="142" spans="1:18" x14ac:dyDescent="0.25">
      <c r="A142">
        <v>140</v>
      </c>
      <c r="B142" s="72" t="s">
        <v>290</v>
      </c>
      <c r="C142" s="72" t="s">
        <v>22</v>
      </c>
      <c r="D142" s="79" t="s">
        <v>291</v>
      </c>
      <c r="E142" s="1" t="s">
        <v>295</v>
      </c>
      <c r="F142" s="43">
        <v>30626</v>
      </c>
      <c r="G142" s="2">
        <f t="shared" ca="1" si="4"/>
        <v>42</v>
      </c>
      <c r="H142" s="2" t="s">
        <v>244</v>
      </c>
      <c r="I142" s="2" t="s">
        <v>244</v>
      </c>
      <c r="J142" s="2" t="s">
        <v>249</v>
      </c>
      <c r="K142" s="2" t="s">
        <v>249</v>
      </c>
      <c r="L142" s="2" t="s">
        <v>244</v>
      </c>
      <c r="M142" s="2" t="s">
        <v>244</v>
      </c>
      <c r="N142" s="2" t="s">
        <v>297</v>
      </c>
      <c r="O142" s="2" t="s">
        <v>297</v>
      </c>
      <c r="P142" s="36" t="s">
        <v>249</v>
      </c>
      <c r="Q142" s="36" t="s">
        <v>249</v>
      </c>
      <c r="R142" s="36"/>
    </row>
  </sheetData>
  <autoFilter ref="A2:P142" xr:uid="{00000000-0009-0000-0000-000002000000}"/>
  <mergeCells count="7">
    <mergeCell ref="G1:G2"/>
    <mergeCell ref="H1:R1"/>
    <mergeCell ref="B1:B2"/>
    <mergeCell ref="C1:C2"/>
    <mergeCell ref="D1:D2"/>
    <mergeCell ref="E1:E2"/>
    <mergeCell ref="F1:F2"/>
  </mergeCells>
  <conditionalFormatting sqref="M48:M50 H85:L85 O24 O66 O90 O50 N96:O96 O37:O42 N33:N34 N79:N80 O76:O77 O95 H79:M82 O79:O81 H78:O78 H84:M84 H83:O83 H113:N115 H112:O112 H116:O116 H124:N124 N5 O11 H3:M41 H42:L50 H51:M77 N53 O53:O56 O97:O98 H86:M87 H122:O123 H125:O142 H117:N121 H110:M111 H106:O109 H105:M105 H89:M98 H100:O100 H102:O104">
    <cfRule type="containsText" dxfId="2426" priority="1593" operator="containsText" text="NO APLICA">
      <formula>NOT(ISERROR(SEARCH("NO APLICA",H3)))</formula>
    </cfRule>
    <cfRule type="containsText" dxfId="2425" priority="1594" operator="containsText" text="FALTA">
      <formula>NOT(ISERROR(SEARCH("FALTA",H3)))</formula>
    </cfRule>
    <cfRule type="containsText" dxfId="2424" priority="1595" operator="containsText" text="R. ALTO">
      <formula>NOT(ISERROR(SEARCH("R. ALTO",H3)))</formula>
    </cfRule>
    <cfRule type="containsText" dxfId="2423" priority="1596" operator="containsText" text="R. MODERADO">
      <formula>NOT(ISERROR(SEARCH("R. MODERADO",H3)))</formula>
    </cfRule>
    <cfRule type="containsText" dxfId="2422" priority="1597" operator="containsText" text="SANO">
      <formula>NOT(ISERROR(SEARCH("SANO",H3)))</formula>
    </cfRule>
  </conditionalFormatting>
  <conditionalFormatting sqref="M42:M47">
    <cfRule type="containsText" dxfId="2421" priority="1588" operator="containsText" text="NO APLICA">
      <formula>NOT(ISERROR(SEARCH("NO APLICA",M42)))</formula>
    </cfRule>
    <cfRule type="containsText" dxfId="2420" priority="1589" operator="containsText" text="FALTA">
      <formula>NOT(ISERROR(SEARCH("FALTA",M42)))</formula>
    </cfRule>
    <cfRule type="containsText" dxfId="2419" priority="1590" operator="containsText" text="R. ALTO">
      <formula>NOT(ISERROR(SEARCH("R. ALTO",M42)))</formula>
    </cfRule>
    <cfRule type="containsText" dxfId="2418" priority="1591" operator="containsText" text="R. MODERADO">
      <formula>NOT(ISERROR(SEARCH("R. MODERADO",M42)))</formula>
    </cfRule>
    <cfRule type="containsText" dxfId="2417" priority="1592" operator="containsText" text="SANO">
      <formula>NOT(ISERROR(SEARCH("SANO",M42)))</formula>
    </cfRule>
  </conditionalFormatting>
  <conditionalFormatting sqref="N94:N95">
    <cfRule type="containsText" dxfId="2416" priority="1366" operator="containsText" text="NO APLICA">
      <formula>NOT(ISERROR(SEARCH("NO APLICA",N94)))</formula>
    </cfRule>
    <cfRule type="containsText" dxfId="2415" priority="1367" operator="containsText" text="FALTA">
      <formula>NOT(ISERROR(SEARCH("FALTA",N94)))</formula>
    </cfRule>
    <cfRule type="containsText" dxfId="2414" priority="1368" operator="containsText" text="R. ALTO">
      <formula>NOT(ISERROR(SEARCH("R. ALTO",N94)))</formula>
    </cfRule>
    <cfRule type="containsText" dxfId="2413" priority="1369" operator="containsText" text="R. MODERADO">
      <formula>NOT(ISERROR(SEARCH("R. MODERADO",N94)))</formula>
    </cfRule>
    <cfRule type="containsText" dxfId="2412" priority="1370" operator="containsText" text="SANO">
      <formula>NOT(ISERROR(SEARCH("SANO",N94)))</formula>
    </cfRule>
  </conditionalFormatting>
  <conditionalFormatting sqref="N3 N7:N8">
    <cfRule type="containsText" dxfId="2411" priority="1578" operator="containsText" text="NO APLICA">
      <formula>NOT(ISERROR(SEARCH("NO APLICA",N3)))</formula>
    </cfRule>
    <cfRule type="containsText" dxfId="2410" priority="1579" operator="containsText" text="FALTA">
      <formula>NOT(ISERROR(SEARCH("FALTA",N3)))</formula>
    </cfRule>
    <cfRule type="containsText" dxfId="2409" priority="1580" operator="containsText" text="R. ALTO">
      <formula>NOT(ISERROR(SEARCH("R. ALTO",N3)))</formula>
    </cfRule>
    <cfRule type="containsText" dxfId="2408" priority="1581" operator="containsText" text="R. MODERADO">
      <formula>NOT(ISERROR(SEARCH("R. MODERADO",N3)))</formula>
    </cfRule>
    <cfRule type="containsText" dxfId="2407" priority="1582" operator="containsText" text="SANO">
      <formula>NOT(ISERROR(SEARCH("SANO",N3)))</formula>
    </cfRule>
  </conditionalFormatting>
  <conditionalFormatting sqref="N4">
    <cfRule type="containsText" dxfId="2406" priority="1573" operator="containsText" text="NO APLICA">
      <formula>NOT(ISERROR(SEARCH("NO APLICA",N4)))</formula>
    </cfRule>
    <cfRule type="containsText" dxfId="2405" priority="1574" operator="containsText" text="FALTA">
      <formula>NOT(ISERROR(SEARCH("FALTA",N4)))</formula>
    </cfRule>
    <cfRule type="containsText" dxfId="2404" priority="1575" operator="containsText" text="R. ALTO">
      <formula>NOT(ISERROR(SEARCH("R. ALTO",N4)))</formula>
    </cfRule>
    <cfRule type="containsText" dxfId="2403" priority="1576" operator="containsText" text="R. MODERADO">
      <formula>NOT(ISERROR(SEARCH("R. MODERADO",N4)))</formula>
    </cfRule>
    <cfRule type="containsText" dxfId="2402" priority="1577" operator="containsText" text="SANO">
      <formula>NOT(ISERROR(SEARCH("SANO",N4)))</formula>
    </cfRule>
  </conditionalFormatting>
  <conditionalFormatting sqref="N13">
    <cfRule type="containsText" dxfId="2401" priority="1568" operator="containsText" text="NO APLICA">
      <formula>NOT(ISERROR(SEARCH("NO APLICA",N13)))</formula>
    </cfRule>
    <cfRule type="containsText" dxfId="2400" priority="1569" operator="containsText" text="FALTA">
      <formula>NOT(ISERROR(SEARCH("FALTA",N13)))</formula>
    </cfRule>
    <cfRule type="containsText" dxfId="2399" priority="1570" operator="containsText" text="R. ALTO">
      <formula>NOT(ISERROR(SEARCH("R. ALTO",N13)))</formula>
    </cfRule>
    <cfRule type="containsText" dxfId="2398" priority="1571" operator="containsText" text="R. MODERADO">
      <formula>NOT(ISERROR(SEARCH("R. MODERADO",N13)))</formula>
    </cfRule>
    <cfRule type="containsText" dxfId="2397" priority="1572" operator="containsText" text="SANO">
      <formula>NOT(ISERROR(SEARCH("SANO",N13)))</formula>
    </cfRule>
  </conditionalFormatting>
  <conditionalFormatting sqref="N30 N59:N60 N18:N20 N27:N28 N32 N37:N38 N45 N54:N57 N86:N87 N93 N40:N41 N48:N51 N82 N96 N84 N110:N111">
    <cfRule type="containsText" dxfId="2396" priority="1563" operator="containsText" text="NO APLICA">
      <formula>NOT(ISERROR(SEARCH("NO APLICA",N18)))</formula>
    </cfRule>
    <cfRule type="containsText" dxfId="2395" priority="1564" operator="containsText" text="FALTA">
      <formula>NOT(ISERROR(SEARCH("FALTA",N18)))</formula>
    </cfRule>
    <cfRule type="containsText" dxfId="2394" priority="1565" operator="containsText" text="R. ALTO">
      <formula>NOT(ISERROR(SEARCH("R. ALTO",N18)))</formula>
    </cfRule>
    <cfRule type="containsText" dxfId="2393" priority="1566" operator="containsText" text="R. MODERADO">
      <formula>NOT(ISERROR(SEARCH("R. MODERADO",N18)))</formula>
    </cfRule>
    <cfRule type="containsText" dxfId="2392" priority="1567" operator="containsText" text="SANO">
      <formula>NOT(ISERROR(SEARCH("SANO",N18)))</formula>
    </cfRule>
  </conditionalFormatting>
  <conditionalFormatting sqref="N29">
    <cfRule type="containsText" dxfId="2391" priority="1558" operator="containsText" text="MODERADO">
      <formula>NOT(ISERROR(SEARCH("MODERADO",N29)))</formula>
    </cfRule>
    <cfRule type="containsText" dxfId="2390" priority="1559" operator="containsText" text="SANO">
      <formula>NOT(ISERROR(SEARCH("SANO",N29)))</formula>
    </cfRule>
    <cfRule type="containsText" dxfId="2389" priority="1560" operator="containsText" text="ALTO">
      <formula>NOT(ISERROR(SEARCH("ALTO",N29)))</formula>
    </cfRule>
    <cfRule type="containsText" dxfId="2388" priority="1561" operator="containsText" text="BAJO">
      <formula>NOT(ISERROR(SEARCH("BAJO",N29)))</formula>
    </cfRule>
    <cfRule type="containsText" dxfId="2387" priority="1562" operator="containsText" text="FALTA">
      <formula>NOT(ISERROR(SEARCH("FALTA",N29)))</formula>
    </cfRule>
  </conditionalFormatting>
  <conditionalFormatting sqref="N29">
    <cfRule type="containsText" dxfId="2386" priority="1557" operator="containsText" text="N/A">
      <formula>NOT(ISERROR(SEARCH("N/A",N29)))</formula>
    </cfRule>
  </conditionalFormatting>
  <conditionalFormatting sqref="N29">
    <cfRule type="containsText" dxfId="2385" priority="1552" operator="containsText" text="BAJO">
      <formula>NOT(ISERROR(SEARCH("BAJO",N29)))</formula>
    </cfRule>
    <cfRule type="containsText" dxfId="2384" priority="1553" operator="containsText" text="SANO">
      <formula>NOT(ISERROR(SEARCH("SANO",N29)))</formula>
    </cfRule>
    <cfRule type="containsText" dxfId="2383" priority="1554" operator="containsText" text="ALTO">
      <formula>NOT(ISERROR(SEARCH("ALTO",N29)))</formula>
    </cfRule>
    <cfRule type="containsText" dxfId="2382" priority="1555" operator="containsText" text="MODERADO">
      <formula>NOT(ISERROR(SEARCH("MODERADO",N29)))</formula>
    </cfRule>
    <cfRule type="containsText" dxfId="2381" priority="1556" operator="containsText" text="FALTA">
      <formula>NOT(ISERROR(SEARCH("FALTA",N29)))</formula>
    </cfRule>
  </conditionalFormatting>
  <conditionalFormatting sqref="N29">
    <cfRule type="containsText" dxfId="2380" priority="1551" operator="containsText" text="medio">
      <formula>NOT(ISERROR(SEARCH("medio",N29)))</formula>
    </cfRule>
  </conditionalFormatting>
  <conditionalFormatting sqref="N58">
    <cfRule type="containsText" dxfId="2379" priority="1546" operator="containsText" text="NO APLICA">
      <formula>NOT(ISERROR(SEARCH("NO APLICA",N58)))</formula>
    </cfRule>
    <cfRule type="containsText" dxfId="2378" priority="1547" operator="containsText" text="FALTA">
      <formula>NOT(ISERROR(SEARCH("FALTA",N58)))</formula>
    </cfRule>
    <cfRule type="containsText" dxfId="2377" priority="1548" operator="containsText" text="R. ALTO">
      <formula>NOT(ISERROR(SEARCH("R. ALTO",N58)))</formula>
    </cfRule>
    <cfRule type="containsText" dxfId="2376" priority="1549" operator="containsText" text="R. MODERADO">
      <formula>NOT(ISERROR(SEARCH("R. MODERADO",N58)))</formula>
    </cfRule>
    <cfRule type="containsText" dxfId="2375" priority="1550" operator="containsText" text="SANO">
      <formula>NOT(ISERROR(SEARCH("SANO",N58)))</formula>
    </cfRule>
  </conditionalFormatting>
  <conditionalFormatting sqref="N61:N64">
    <cfRule type="containsText" dxfId="2374" priority="1541" operator="containsText" text="NO APLICA">
      <formula>NOT(ISERROR(SEARCH("NO APLICA",N61)))</formula>
    </cfRule>
    <cfRule type="containsText" dxfId="2373" priority="1542" operator="containsText" text="FALTA">
      <formula>NOT(ISERROR(SEARCH("FALTA",N61)))</formula>
    </cfRule>
    <cfRule type="containsText" dxfId="2372" priority="1543" operator="containsText" text="R. ALTO">
      <formula>NOT(ISERROR(SEARCH("R. ALTO",N61)))</formula>
    </cfRule>
    <cfRule type="containsText" dxfId="2371" priority="1544" operator="containsText" text="R. MODERADO">
      <formula>NOT(ISERROR(SEARCH("R. MODERADO",N61)))</formula>
    </cfRule>
    <cfRule type="containsText" dxfId="2370" priority="1545" operator="containsText" text="SANO">
      <formula>NOT(ISERROR(SEARCH("SANO",N61)))</formula>
    </cfRule>
  </conditionalFormatting>
  <conditionalFormatting sqref="N67">
    <cfRule type="containsText" dxfId="2369" priority="1536" operator="containsText" text="NO APLICA">
      <formula>NOT(ISERROR(SEARCH("NO APLICA",N67)))</formula>
    </cfRule>
    <cfRule type="containsText" dxfId="2368" priority="1537" operator="containsText" text="FALTA">
      <formula>NOT(ISERROR(SEARCH("FALTA",N67)))</formula>
    </cfRule>
    <cfRule type="containsText" dxfId="2367" priority="1538" operator="containsText" text="R. ALTO">
      <formula>NOT(ISERROR(SEARCH("R. ALTO",N67)))</formula>
    </cfRule>
    <cfRule type="containsText" dxfId="2366" priority="1539" operator="containsText" text="R. MODERADO">
      <formula>NOT(ISERROR(SEARCH("R. MODERADO",N67)))</formula>
    </cfRule>
    <cfRule type="containsText" dxfId="2365" priority="1540" operator="containsText" text="SANO">
      <formula>NOT(ISERROR(SEARCH("SANO",N67)))</formula>
    </cfRule>
  </conditionalFormatting>
  <conditionalFormatting sqref="N69:N75">
    <cfRule type="containsText" dxfId="2364" priority="1531" operator="containsText" text="NO APLICA">
      <formula>NOT(ISERROR(SEARCH("NO APLICA",N69)))</formula>
    </cfRule>
    <cfRule type="containsText" dxfId="2363" priority="1532" operator="containsText" text="FALTA">
      <formula>NOT(ISERROR(SEARCH("FALTA",N69)))</formula>
    </cfRule>
    <cfRule type="containsText" dxfId="2362" priority="1533" operator="containsText" text="R. ALTO">
      <formula>NOT(ISERROR(SEARCH("R. ALTO",N69)))</formula>
    </cfRule>
    <cfRule type="containsText" dxfId="2361" priority="1534" operator="containsText" text="R. MODERADO">
      <formula>NOT(ISERROR(SEARCH("R. MODERADO",N69)))</formula>
    </cfRule>
    <cfRule type="containsText" dxfId="2360" priority="1535" operator="containsText" text="SANO">
      <formula>NOT(ISERROR(SEARCH("SANO",N69)))</formula>
    </cfRule>
  </conditionalFormatting>
  <conditionalFormatting sqref="N10">
    <cfRule type="containsText" dxfId="2359" priority="1526" operator="containsText" text="NO APLICA">
      <formula>NOT(ISERROR(SEARCH("NO APLICA",N10)))</formula>
    </cfRule>
    <cfRule type="containsText" dxfId="2358" priority="1527" operator="containsText" text="FALTA">
      <formula>NOT(ISERROR(SEARCH("FALTA",N10)))</formula>
    </cfRule>
    <cfRule type="containsText" dxfId="2357" priority="1528" operator="containsText" text="R. ALTO">
      <formula>NOT(ISERROR(SEARCH("R. ALTO",N10)))</formula>
    </cfRule>
    <cfRule type="containsText" dxfId="2356" priority="1529" operator="containsText" text="R. MODERADO">
      <formula>NOT(ISERROR(SEARCH("R. MODERADO",N10)))</formula>
    </cfRule>
    <cfRule type="containsText" dxfId="2355" priority="1530" operator="containsText" text="SANO">
      <formula>NOT(ISERROR(SEARCH("SANO",N10)))</formula>
    </cfRule>
  </conditionalFormatting>
  <conditionalFormatting sqref="N11">
    <cfRule type="containsText" dxfId="2354" priority="1516" operator="containsText" text="NO APLICA">
      <formula>NOT(ISERROR(SEARCH("NO APLICA",N11)))</formula>
    </cfRule>
    <cfRule type="containsText" dxfId="2353" priority="1517" operator="containsText" text="FALTA">
      <formula>NOT(ISERROR(SEARCH("FALTA",N11)))</formula>
    </cfRule>
    <cfRule type="containsText" dxfId="2352" priority="1518" operator="containsText" text="R. ALTO">
      <formula>NOT(ISERROR(SEARCH("R. ALTO",N11)))</formula>
    </cfRule>
    <cfRule type="containsText" dxfId="2351" priority="1519" operator="containsText" text="R. MODERADO">
      <formula>NOT(ISERROR(SEARCH("R. MODERADO",N11)))</formula>
    </cfRule>
    <cfRule type="containsText" dxfId="2350" priority="1520" operator="containsText" text="SANO">
      <formula>NOT(ISERROR(SEARCH("SANO",N11)))</formula>
    </cfRule>
  </conditionalFormatting>
  <conditionalFormatting sqref="N12">
    <cfRule type="containsText" dxfId="2349" priority="1511" operator="containsText" text="NO APLICA">
      <formula>NOT(ISERROR(SEARCH("NO APLICA",N12)))</formula>
    </cfRule>
    <cfRule type="containsText" dxfId="2348" priority="1512" operator="containsText" text="FALTA">
      <formula>NOT(ISERROR(SEARCH("FALTA",N12)))</formula>
    </cfRule>
    <cfRule type="containsText" dxfId="2347" priority="1513" operator="containsText" text="R. ALTO">
      <formula>NOT(ISERROR(SEARCH("R. ALTO",N12)))</formula>
    </cfRule>
    <cfRule type="containsText" dxfId="2346" priority="1514" operator="containsText" text="R. MODERADO">
      <formula>NOT(ISERROR(SEARCH("R. MODERADO",N12)))</formula>
    </cfRule>
    <cfRule type="containsText" dxfId="2345" priority="1515" operator="containsText" text="SANO">
      <formula>NOT(ISERROR(SEARCH("SANO",N12)))</formula>
    </cfRule>
  </conditionalFormatting>
  <conditionalFormatting sqref="N15">
    <cfRule type="containsText" dxfId="2344" priority="1501" operator="containsText" text="NO APLICA">
      <formula>NOT(ISERROR(SEARCH("NO APLICA",N15)))</formula>
    </cfRule>
    <cfRule type="containsText" dxfId="2343" priority="1502" operator="containsText" text="FALTA">
      <formula>NOT(ISERROR(SEARCH("FALTA",N15)))</formula>
    </cfRule>
    <cfRule type="containsText" dxfId="2342" priority="1503" operator="containsText" text="R. ALTO">
      <formula>NOT(ISERROR(SEARCH("R. ALTO",N15)))</formula>
    </cfRule>
    <cfRule type="containsText" dxfId="2341" priority="1504" operator="containsText" text="R. MODERADO">
      <formula>NOT(ISERROR(SEARCH("R. MODERADO",N15)))</formula>
    </cfRule>
    <cfRule type="containsText" dxfId="2340" priority="1505" operator="containsText" text="SANO">
      <formula>NOT(ISERROR(SEARCH("SANO",N15)))</formula>
    </cfRule>
  </conditionalFormatting>
  <conditionalFormatting sqref="N16">
    <cfRule type="containsText" dxfId="2339" priority="1496" operator="containsText" text="NO APLICA">
      <formula>NOT(ISERROR(SEARCH("NO APLICA",N16)))</formula>
    </cfRule>
    <cfRule type="containsText" dxfId="2338" priority="1497" operator="containsText" text="FALTA">
      <formula>NOT(ISERROR(SEARCH("FALTA",N16)))</formula>
    </cfRule>
    <cfRule type="containsText" dxfId="2337" priority="1498" operator="containsText" text="R. ALTO">
      <formula>NOT(ISERROR(SEARCH("R. ALTO",N16)))</formula>
    </cfRule>
    <cfRule type="containsText" dxfId="2336" priority="1499" operator="containsText" text="R. MODERADO">
      <formula>NOT(ISERROR(SEARCH("R. MODERADO",N16)))</formula>
    </cfRule>
    <cfRule type="containsText" dxfId="2335" priority="1500" operator="containsText" text="SANO">
      <formula>NOT(ISERROR(SEARCH("SANO",N16)))</formula>
    </cfRule>
  </conditionalFormatting>
  <conditionalFormatting sqref="N17">
    <cfRule type="containsText" dxfId="2334" priority="1491" operator="containsText" text="NO APLICA">
      <formula>NOT(ISERROR(SEARCH("NO APLICA",N17)))</formula>
    </cfRule>
    <cfRule type="containsText" dxfId="2333" priority="1492" operator="containsText" text="FALTA">
      <formula>NOT(ISERROR(SEARCH("FALTA",N17)))</formula>
    </cfRule>
    <cfRule type="containsText" dxfId="2332" priority="1493" operator="containsText" text="R. ALTO">
      <formula>NOT(ISERROR(SEARCH("R. ALTO",N17)))</formula>
    </cfRule>
    <cfRule type="containsText" dxfId="2331" priority="1494" operator="containsText" text="R. MODERADO">
      <formula>NOT(ISERROR(SEARCH("R. MODERADO",N17)))</formula>
    </cfRule>
    <cfRule type="containsText" dxfId="2330" priority="1495" operator="containsText" text="SANO">
      <formula>NOT(ISERROR(SEARCH("SANO",N17)))</formula>
    </cfRule>
  </conditionalFormatting>
  <conditionalFormatting sqref="N22:N23">
    <cfRule type="containsText" dxfId="2329" priority="1486" operator="containsText" text="NO APLICA">
      <formula>NOT(ISERROR(SEARCH("NO APLICA",N22)))</formula>
    </cfRule>
    <cfRule type="containsText" dxfId="2328" priority="1487" operator="containsText" text="FALTA">
      <formula>NOT(ISERROR(SEARCH("FALTA",N22)))</formula>
    </cfRule>
    <cfRule type="containsText" dxfId="2327" priority="1488" operator="containsText" text="R. ALTO">
      <formula>NOT(ISERROR(SEARCH("R. ALTO",N22)))</formula>
    </cfRule>
    <cfRule type="containsText" dxfId="2326" priority="1489" operator="containsText" text="R. MODERADO">
      <formula>NOT(ISERROR(SEARCH("R. MODERADO",N22)))</formula>
    </cfRule>
    <cfRule type="containsText" dxfId="2325" priority="1490" operator="containsText" text="SANO">
      <formula>NOT(ISERROR(SEARCH("SANO",N22)))</formula>
    </cfRule>
  </conditionalFormatting>
  <conditionalFormatting sqref="N26">
    <cfRule type="containsText" dxfId="2324" priority="1481" operator="containsText" text="NO APLICA">
      <formula>NOT(ISERROR(SEARCH("NO APLICA",N26)))</formula>
    </cfRule>
    <cfRule type="containsText" dxfId="2323" priority="1482" operator="containsText" text="FALTA">
      <formula>NOT(ISERROR(SEARCH("FALTA",N26)))</formula>
    </cfRule>
    <cfRule type="containsText" dxfId="2322" priority="1483" operator="containsText" text="R. ALTO">
      <formula>NOT(ISERROR(SEARCH("R. ALTO",N26)))</formula>
    </cfRule>
    <cfRule type="containsText" dxfId="2321" priority="1484" operator="containsText" text="R. MODERADO">
      <formula>NOT(ISERROR(SEARCH("R. MODERADO",N26)))</formula>
    </cfRule>
    <cfRule type="containsText" dxfId="2320" priority="1485" operator="containsText" text="SANO">
      <formula>NOT(ISERROR(SEARCH("SANO",N26)))</formula>
    </cfRule>
  </conditionalFormatting>
  <conditionalFormatting sqref="N31">
    <cfRule type="containsText" dxfId="2319" priority="1476" operator="containsText" text="NO APLICA">
      <formula>NOT(ISERROR(SEARCH("NO APLICA",N31)))</formula>
    </cfRule>
    <cfRule type="containsText" dxfId="2318" priority="1477" operator="containsText" text="FALTA">
      <formula>NOT(ISERROR(SEARCH("FALTA",N31)))</formula>
    </cfRule>
    <cfRule type="containsText" dxfId="2317" priority="1478" operator="containsText" text="R. ALTO">
      <formula>NOT(ISERROR(SEARCH("R. ALTO",N31)))</formula>
    </cfRule>
    <cfRule type="containsText" dxfId="2316" priority="1479" operator="containsText" text="R. MODERADO">
      <formula>NOT(ISERROR(SEARCH("R. MODERADO",N31)))</formula>
    </cfRule>
    <cfRule type="containsText" dxfId="2315" priority="1480" operator="containsText" text="SANO">
      <formula>NOT(ISERROR(SEARCH("SANO",N31)))</formula>
    </cfRule>
  </conditionalFormatting>
  <conditionalFormatting sqref="N42:N44">
    <cfRule type="containsText" dxfId="2314" priority="1456" operator="containsText" text="NO APLICA">
      <formula>NOT(ISERROR(SEARCH("NO APLICA",N42)))</formula>
    </cfRule>
    <cfRule type="containsText" dxfId="2313" priority="1457" operator="containsText" text="FALTA">
      <formula>NOT(ISERROR(SEARCH("FALTA",N42)))</formula>
    </cfRule>
    <cfRule type="containsText" dxfId="2312" priority="1458" operator="containsText" text="R. ALTO">
      <formula>NOT(ISERROR(SEARCH("R. ALTO",N42)))</formula>
    </cfRule>
    <cfRule type="containsText" dxfId="2311" priority="1459" operator="containsText" text="R. MODERADO">
      <formula>NOT(ISERROR(SEARCH("R. MODERADO",N42)))</formula>
    </cfRule>
    <cfRule type="containsText" dxfId="2310" priority="1460" operator="containsText" text="SANO">
      <formula>NOT(ISERROR(SEARCH("SANO",N42)))</formula>
    </cfRule>
  </conditionalFormatting>
  <conditionalFormatting sqref="N46">
    <cfRule type="containsText" dxfId="2309" priority="1451" operator="containsText" text="NO APLICA">
      <formula>NOT(ISERROR(SEARCH("NO APLICA",N46)))</formula>
    </cfRule>
    <cfRule type="containsText" dxfId="2308" priority="1452" operator="containsText" text="FALTA">
      <formula>NOT(ISERROR(SEARCH("FALTA",N46)))</formula>
    </cfRule>
    <cfRule type="containsText" dxfId="2307" priority="1453" operator="containsText" text="R. ALTO">
      <formula>NOT(ISERROR(SEARCH("R. ALTO",N46)))</formula>
    </cfRule>
    <cfRule type="containsText" dxfId="2306" priority="1454" operator="containsText" text="R. MODERADO">
      <formula>NOT(ISERROR(SEARCH("R. MODERADO",N46)))</formula>
    </cfRule>
    <cfRule type="containsText" dxfId="2305" priority="1455" operator="containsText" text="SANO">
      <formula>NOT(ISERROR(SEARCH("SANO",N46)))</formula>
    </cfRule>
  </conditionalFormatting>
  <conditionalFormatting sqref="N65:N66">
    <cfRule type="containsText" dxfId="2304" priority="1441" operator="containsText" text="NO APLICA">
      <formula>NOT(ISERROR(SEARCH("NO APLICA",N65)))</formula>
    </cfRule>
    <cfRule type="containsText" dxfId="2303" priority="1442" operator="containsText" text="FALTA">
      <formula>NOT(ISERROR(SEARCH("FALTA",N65)))</formula>
    </cfRule>
    <cfRule type="containsText" dxfId="2302" priority="1443" operator="containsText" text="R. ALTO">
      <formula>NOT(ISERROR(SEARCH("R. ALTO",N65)))</formula>
    </cfRule>
    <cfRule type="containsText" dxfId="2301" priority="1444" operator="containsText" text="R. MODERADO">
      <formula>NOT(ISERROR(SEARCH("R. MODERADO",N65)))</formula>
    </cfRule>
    <cfRule type="containsText" dxfId="2300" priority="1445" operator="containsText" text="SANO">
      <formula>NOT(ISERROR(SEARCH("SANO",N65)))</formula>
    </cfRule>
  </conditionalFormatting>
  <conditionalFormatting sqref="N68">
    <cfRule type="containsText" dxfId="2299" priority="1436" operator="containsText" text="NO APLICA">
      <formula>NOT(ISERROR(SEARCH("NO APLICA",N68)))</formula>
    </cfRule>
    <cfRule type="containsText" dxfId="2298" priority="1437" operator="containsText" text="FALTA">
      <formula>NOT(ISERROR(SEARCH("FALTA",N68)))</formula>
    </cfRule>
    <cfRule type="containsText" dxfId="2297" priority="1438" operator="containsText" text="R. ALTO">
      <formula>NOT(ISERROR(SEARCH("R. ALTO",N68)))</formula>
    </cfRule>
    <cfRule type="containsText" dxfId="2296" priority="1439" operator="containsText" text="R. MODERADO">
      <formula>NOT(ISERROR(SEARCH("R. MODERADO",N68)))</formula>
    </cfRule>
    <cfRule type="containsText" dxfId="2295" priority="1440" operator="containsText" text="SANO">
      <formula>NOT(ISERROR(SEARCH("SANO",N68)))</formula>
    </cfRule>
  </conditionalFormatting>
  <conditionalFormatting sqref="N76">
    <cfRule type="containsText" dxfId="2294" priority="1431" operator="containsText" text="NO APLICA">
      <formula>NOT(ISERROR(SEARCH("NO APLICA",N76)))</formula>
    </cfRule>
    <cfRule type="containsText" dxfId="2293" priority="1432" operator="containsText" text="FALTA">
      <formula>NOT(ISERROR(SEARCH("FALTA",N76)))</formula>
    </cfRule>
    <cfRule type="containsText" dxfId="2292" priority="1433" operator="containsText" text="R. ALTO">
      <formula>NOT(ISERROR(SEARCH("R. ALTO",N76)))</formula>
    </cfRule>
    <cfRule type="containsText" dxfId="2291" priority="1434" operator="containsText" text="R. MODERADO">
      <formula>NOT(ISERROR(SEARCH("R. MODERADO",N76)))</formula>
    </cfRule>
    <cfRule type="containsText" dxfId="2290" priority="1435" operator="containsText" text="SANO">
      <formula>NOT(ISERROR(SEARCH("SANO",N76)))</formula>
    </cfRule>
  </conditionalFormatting>
  <conditionalFormatting sqref="N85">
    <cfRule type="containsText" dxfId="2289" priority="1426" operator="containsText" text="NO APLICA">
      <formula>NOT(ISERROR(SEARCH("NO APLICA",N85)))</formula>
    </cfRule>
    <cfRule type="containsText" dxfId="2288" priority="1427" operator="containsText" text="FALTA">
      <formula>NOT(ISERROR(SEARCH("FALTA",N85)))</formula>
    </cfRule>
    <cfRule type="containsText" dxfId="2287" priority="1428" operator="containsText" text="R. ALTO">
      <formula>NOT(ISERROR(SEARCH("R. ALTO",N85)))</formula>
    </cfRule>
    <cfRule type="containsText" dxfId="2286" priority="1429" operator="containsText" text="R. MODERADO">
      <formula>NOT(ISERROR(SEARCH("R. MODERADO",N85)))</formula>
    </cfRule>
    <cfRule type="containsText" dxfId="2285" priority="1430" operator="containsText" text="SANO">
      <formula>NOT(ISERROR(SEARCH("SANO",N85)))</formula>
    </cfRule>
  </conditionalFormatting>
  <conditionalFormatting sqref="N92">
    <cfRule type="containsText" dxfId="2284" priority="1421" operator="containsText" text="NO APLICA">
      <formula>NOT(ISERROR(SEARCH("NO APLICA",N92)))</formula>
    </cfRule>
    <cfRule type="containsText" dxfId="2283" priority="1422" operator="containsText" text="FALTA">
      <formula>NOT(ISERROR(SEARCH("FALTA",N92)))</formula>
    </cfRule>
    <cfRule type="containsText" dxfId="2282" priority="1423" operator="containsText" text="R. ALTO">
      <formula>NOT(ISERROR(SEARCH("R. ALTO",N92)))</formula>
    </cfRule>
    <cfRule type="containsText" dxfId="2281" priority="1424" operator="containsText" text="R. MODERADO">
      <formula>NOT(ISERROR(SEARCH("R. MODERADO",N92)))</formula>
    </cfRule>
    <cfRule type="containsText" dxfId="2280" priority="1425" operator="containsText" text="SANO">
      <formula>NOT(ISERROR(SEARCH("SANO",N92)))</formula>
    </cfRule>
  </conditionalFormatting>
  <conditionalFormatting sqref="N89:N91">
    <cfRule type="containsText" dxfId="2279" priority="1371" operator="containsText" text="NO APLICA">
      <formula>NOT(ISERROR(SEARCH("NO APLICA",N89)))</formula>
    </cfRule>
    <cfRule type="containsText" dxfId="2278" priority="1372" operator="containsText" text="FALTA">
      <formula>NOT(ISERROR(SEARCH("FALTA",N89)))</formula>
    </cfRule>
    <cfRule type="containsText" dxfId="2277" priority="1373" operator="containsText" text="R. ALTO">
      <formula>NOT(ISERROR(SEARCH("R. ALTO",N89)))</formula>
    </cfRule>
    <cfRule type="containsText" dxfId="2276" priority="1374" operator="containsText" text="R. MODERADO">
      <formula>NOT(ISERROR(SEARCH("R. MODERADO",N89)))</formula>
    </cfRule>
    <cfRule type="containsText" dxfId="2275" priority="1375" operator="containsText" text="SANO">
      <formula>NOT(ISERROR(SEARCH("SANO",N89)))</formula>
    </cfRule>
  </conditionalFormatting>
  <conditionalFormatting sqref="N24 N21 N14 N9">
    <cfRule type="containsText" dxfId="2274" priority="1411" operator="containsText" text="NO APLICA">
      <formula>NOT(ISERROR(SEARCH("NO APLICA",N9)))</formula>
    </cfRule>
    <cfRule type="containsText" dxfId="2273" priority="1412" operator="containsText" text="FALTA">
      <formula>NOT(ISERROR(SEARCH("FALTA",N9)))</formula>
    </cfRule>
    <cfRule type="containsText" dxfId="2272" priority="1413" operator="containsText" text="R. ALTO">
      <formula>NOT(ISERROR(SEARCH("R. ALTO",N9)))</formula>
    </cfRule>
    <cfRule type="containsText" dxfId="2271" priority="1414" operator="containsText" text="R. MODERADO">
      <formula>NOT(ISERROR(SEARCH("R. MODERADO",N9)))</formula>
    </cfRule>
    <cfRule type="containsText" dxfId="2270" priority="1415" operator="containsText" text="SANO">
      <formula>NOT(ISERROR(SEARCH("SANO",N9)))</formula>
    </cfRule>
  </conditionalFormatting>
  <conditionalFormatting sqref="N35:N36">
    <cfRule type="containsText" dxfId="2269" priority="1406" operator="containsText" text="NO APLICA">
      <formula>NOT(ISERROR(SEARCH("NO APLICA",N35)))</formula>
    </cfRule>
    <cfRule type="containsText" dxfId="2268" priority="1407" operator="containsText" text="FALTA">
      <formula>NOT(ISERROR(SEARCH("FALTA",N35)))</formula>
    </cfRule>
    <cfRule type="containsText" dxfId="2267" priority="1408" operator="containsText" text="R. ALTO">
      <formula>NOT(ISERROR(SEARCH("R. ALTO",N35)))</formula>
    </cfRule>
    <cfRule type="containsText" dxfId="2266" priority="1409" operator="containsText" text="R. MODERADO">
      <formula>NOT(ISERROR(SEARCH("R. MODERADO",N35)))</formula>
    </cfRule>
    <cfRule type="containsText" dxfId="2265" priority="1410" operator="containsText" text="SANO">
      <formula>NOT(ISERROR(SEARCH("SANO",N35)))</formula>
    </cfRule>
  </conditionalFormatting>
  <conditionalFormatting sqref="N39">
    <cfRule type="containsText" dxfId="2264" priority="1401" operator="containsText" text="NO APLICA">
      <formula>NOT(ISERROR(SEARCH("NO APLICA",N39)))</formula>
    </cfRule>
    <cfRule type="containsText" dxfId="2263" priority="1402" operator="containsText" text="FALTA">
      <formula>NOT(ISERROR(SEARCH("FALTA",N39)))</formula>
    </cfRule>
    <cfRule type="containsText" dxfId="2262" priority="1403" operator="containsText" text="R. ALTO">
      <formula>NOT(ISERROR(SEARCH("R. ALTO",N39)))</formula>
    </cfRule>
    <cfRule type="containsText" dxfId="2261" priority="1404" operator="containsText" text="R. MODERADO">
      <formula>NOT(ISERROR(SEARCH("R. MODERADO",N39)))</formula>
    </cfRule>
    <cfRule type="containsText" dxfId="2260" priority="1405" operator="containsText" text="SANO">
      <formula>NOT(ISERROR(SEARCH("SANO",N39)))</formula>
    </cfRule>
  </conditionalFormatting>
  <conditionalFormatting sqref="N47">
    <cfRule type="containsText" dxfId="2259" priority="1396" operator="containsText" text="NO APLICA">
      <formula>NOT(ISERROR(SEARCH("NO APLICA",N47)))</formula>
    </cfRule>
    <cfRule type="containsText" dxfId="2258" priority="1397" operator="containsText" text="FALTA">
      <formula>NOT(ISERROR(SEARCH("FALTA",N47)))</formula>
    </cfRule>
    <cfRule type="containsText" dxfId="2257" priority="1398" operator="containsText" text="R. ALTO">
      <formula>NOT(ISERROR(SEARCH("R. ALTO",N47)))</formula>
    </cfRule>
    <cfRule type="containsText" dxfId="2256" priority="1399" operator="containsText" text="R. MODERADO">
      <formula>NOT(ISERROR(SEARCH("R. MODERADO",N47)))</formula>
    </cfRule>
    <cfRule type="containsText" dxfId="2255" priority="1400" operator="containsText" text="SANO">
      <formula>NOT(ISERROR(SEARCH("SANO",N47)))</formula>
    </cfRule>
  </conditionalFormatting>
  <conditionalFormatting sqref="N52">
    <cfRule type="containsText" dxfId="2254" priority="1391" operator="containsText" text="NO APLICA">
      <formula>NOT(ISERROR(SEARCH("NO APLICA",N52)))</formula>
    </cfRule>
    <cfRule type="containsText" dxfId="2253" priority="1392" operator="containsText" text="FALTA">
      <formula>NOT(ISERROR(SEARCH("FALTA",N52)))</formula>
    </cfRule>
    <cfRule type="containsText" dxfId="2252" priority="1393" operator="containsText" text="R. ALTO">
      <formula>NOT(ISERROR(SEARCH("R. ALTO",N52)))</formula>
    </cfRule>
    <cfRule type="containsText" dxfId="2251" priority="1394" operator="containsText" text="R. MODERADO">
      <formula>NOT(ISERROR(SEARCH("R. MODERADO",N52)))</formula>
    </cfRule>
    <cfRule type="containsText" dxfId="2250" priority="1395" operator="containsText" text="SANO">
      <formula>NOT(ISERROR(SEARCH("SANO",N52)))</formula>
    </cfRule>
  </conditionalFormatting>
  <conditionalFormatting sqref="N77">
    <cfRule type="containsText" dxfId="2249" priority="1381" operator="containsText" text="NO APLICA">
      <formula>NOT(ISERROR(SEARCH("NO APLICA",N77)))</formula>
    </cfRule>
    <cfRule type="containsText" dxfId="2248" priority="1382" operator="containsText" text="FALTA">
      <formula>NOT(ISERROR(SEARCH("FALTA",N77)))</formula>
    </cfRule>
    <cfRule type="containsText" dxfId="2247" priority="1383" operator="containsText" text="R. ALTO">
      <formula>NOT(ISERROR(SEARCH("R. ALTO",N77)))</formula>
    </cfRule>
    <cfRule type="containsText" dxfId="2246" priority="1384" operator="containsText" text="R. MODERADO">
      <formula>NOT(ISERROR(SEARCH("R. MODERADO",N77)))</formula>
    </cfRule>
    <cfRule type="containsText" dxfId="2245" priority="1385" operator="containsText" text="SANO">
      <formula>NOT(ISERROR(SEARCH("SANO",N77)))</formula>
    </cfRule>
  </conditionalFormatting>
  <conditionalFormatting sqref="N81">
    <cfRule type="containsText" dxfId="2244" priority="1376" operator="containsText" text="NO APLICA">
      <formula>NOT(ISERROR(SEARCH("NO APLICA",N81)))</formula>
    </cfRule>
    <cfRule type="containsText" dxfId="2243" priority="1377" operator="containsText" text="FALTA">
      <formula>NOT(ISERROR(SEARCH("FALTA",N81)))</formula>
    </cfRule>
    <cfRule type="containsText" dxfId="2242" priority="1378" operator="containsText" text="R. ALTO">
      <formula>NOT(ISERROR(SEARCH("R. ALTO",N81)))</formula>
    </cfRule>
    <cfRule type="containsText" dxfId="2241" priority="1379" operator="containsText" text="R. MODERADO">
      <formula>NOT(ISERROR(SEARCH("R. MODERADO",N81)))</formula>
    </cfRule>
    <cfRule type="containsText" dxfId="2240" priority="1380" operator="containsText" text="SANO">
      <formula>NOT(ISERROR(SEARCH("SANO",N81)))</formula>
    </cfRule>
  </conditionalFormatting>
  <conditionalFormatting sqref="N97:N98">
    <cfRule type="containsText" dxfId="2239" priority="1361" operator="containsText" text="NO APLICA">
      <formula>NOT(ISERROR(SEARCH("NO APLICA",N97)))</formula>
    </cfRule>
    <cfRule type="containsText" dxfId="2238" priority="1362" operator="containsText" text="FALTA">
      <formula>NOT(ISERROR(SEARCH("FALTA",N97)))</formula>
    </cfRule>
    <cfRule type="containsText" dxfId="2237" priority="1363" operator="containsText" text="R. ALTO">
      <formula>NOT(ISERROR(SEARCH("R. ALTO",N97)))</formula>
    </cfRule>
    <cfRule type="containsText" dxfId="2236" priority="1364" operator="containsText" text="R. MODERADO">
      <formula>NOT(ISERROR(SEARCH("R. MODERADO",N97)))</formula>
    </cfRule>
    <cfRule type="containsText" dxfId="2235" priority="1365" operator="containsText" text="SANO">
      <formula>NOT(ISERROR(SEARCH("SANO",N97)))</formula>
    </cfRule>
  </conditionalFormatting>
  <conditionalFormatting sqref="N25">
    <cfRule type="containsText" dxfId="2234" priority="1346" operator="containsText" text="NO APLICA">
      <formula>NOT(ISERROR(SEARCH("NO APLICA",N25)))</formula>
    </cfRule>
    <cfRule type="containsText" dxfId="2233" priority="1347" operator="containsText" text="FALTA">
      <formula>NOT(ISERROR(SEARCH("FALTA",N25)))</formula>
    </cfRule>
    <cfRule type="containsText" dxfId="2232" priority="1348" operator="containsText" text="R. ALTO">
      <formula>NOT(ISERROR(SEARCH("R. ALTO",N25)))</formula>
    </cfRule>
    <cfRule type="containsText" dxfId="2231" priority="1349" operator="containsText" text="R. MODERADO">
      <formula>NOT(ISERROR(SEARCH("R. MODERADO",N25)))</formula>
    </cfRule>
    <cfRule type="containsText" dxfId="2230" priority="1350" operator="containsText" text="SANO">
      <formula>NOT(ISERROR(SEARCH("SANO",N25)))</formula>
    </cfRule>
  </conditionalFormatting>
  <conditionalFormatting sqref="N6">
    <cfRule type="containsText" dxfId="2229" priority="1341" operator="containsText" text="NO APLICA">
      <formula>NOT(ISERROR(SEARCH("NO APLICA",N6)))</formula>
    </cfRule>
    <cfRule type="containsText" dxfId="2228" priority="1342" operator="containsText" text="FALTA">
      <formula>NOT(ISERROR(SEARCH("FALTA",N6)))</formula>
    </cfRule>
    <cfRule type="containsText" dxfId="2227" priority="1343" operator="containsText" text="R. ALTO">
      <formula>NOT(ISERROR(SEARCH("R. ALTO",N6)))</formula>
    </cfRule>
    <cfRule type="containsText" dxfId="2226" priority="1344" operator="containsText" text="R. MODERADO">
      <formula>NOT(ISERROR(SEARCH("R. MODERADO",N6)))</formula>
    </cfRule>
    <cfRule type="containsText" dxfId="2225" priority="1345" operator="containsText" text="SANO">
      <formula>NOT(ISERROR(SEARCH("SANO",N6)))</formula>
    </cfRule>
  </conditionalFormatting>
  <conditionalFormatting sqref="O113 O117">
    <cfRule type="containsText" dxfId="2224" priority="1331" operator="containsText" text="NO APLICA">
      <formula>NOT(ISERROR(SEARCH("NO APLICA",O113)))</formula>
    </cfRule>
    <cfRule type="containsText" dxfId="2223" priority="1332" operator="containsText" text="FALTA">
      <formula>NOT(ISERROR(SEARCH("FALTA",O113)))</formula>
    </cfRule>
    <cfRule type="containsText" dxfId="2222" priority="1333" operator="containsText" text="R. ALTO">
      <formula>NOT(ISERROR(SEARCH("R. ALTO",O113)))</formula>
    </cfRule>
    <cfRule type="containsText" dxfId="2221" priority="1334" operator="containsText" text="R. MODERADO">
      <formula>NOT(ISERROR(SEARCH("R. MODERADO",O113)))</formula>
    </cfRule>
    <cfRule type="containsText" dxfId="2220" priority="1335" operator="containsText" text="SANO">
      <formula>NOT(ISERROR(SEARCH("SANO",O113)))</formula>
    </cfRule>
  </conditionalFormatting>
  <conditionalFormatting sqref="O3">
    <cfRule type="containsText" dxfId="2219" priority="1326" operator="containsText" text="NO APLICA">
      <formula>NOT(ISERROR(SEARCH("NO APLICA",O3)))</formula>
    </cfRule>
    <cfRule type="containsText" dxfId="2218" priority="1327" operator="containsText" text="FALTA">
      <formula>NOT(ISERROR(SEARCH("FALTA",O3)))</formula>
    </cfRule>
    <cfRule type="containsText" dxfId="2217" priority="1328" operator="containsText" text="R. ALTO">
      <formula>NOT(ISERROR(SEARCH("R. ALTO",O3)))</formula>
    </cfRule>
    <cfRule type="containsText" dxfId="2216" priority="1329" operator="containsText" text="R. MODERADO">
      <formula>NOT(ISERROR(SEARCH("R. MODERADO",O3)))</formula>
    </cfRule>
    <cfRule type="containsText" dxfId="2215" priority="1330" operator="containsText" text="SANO">
      <formula>NOT(ISERROR(SEARCH("SANO",O3)))</formula>
    </cfRule>
  </conditionalFormatting>
  <conditionalFormatting sqref="O4">
    <cfRule type="containsText" dxfId="2214" priority="1321" operator="containsText" text="NO APLICA">
      <formula>NOT(ISERROR(SEARCH("NO APLICA",O4)))</formula>
    </cfRule>
    <cfRule type="containsText" dxfId="2213" priority="1322" operator="containsText" text="FALTA">
      <formula>NOT(ISERROR(SEARCH("FALTA",O4)))</formula>
    </cfRule>
    <cfRule type="containsText" dxfId="2212" priority="1323" operator="containsText" text="R. ALTO">
      <formula>NOT(ISERROR(SEARCH("R. ALTO",O4)))</formula>
    </cfRule>
    <cfRule type="containsText" dxfId="2211" priority="1324" operator="containsText" text="R. MODERADO">
      <formula>NOT(ISERROR(SEARCH("R. MODERADO",O4)))</formula>
    </cfRule>
    <cfRule type="containsText" dxfId="2210" priority="1325" operator="containsText" text="SANO">
      <formula>NOT(ISERROR(SEARCH("SANO",O4)))</formula>
    </cfRule>
  </conditionalFormatting>
  <conditionalFormatting sqref="O6">
    <cfRule type="containsText" dxfId="2209" priority="1306" operator="containsText" text="NO APLICA">
      <formula>NOT(ISERROR(SEARCH("NO APLICA",O6)))</formula>
    </cfRule>
    <cfRule type="containsText" dxfId="2208" priority="1307" operator="containsText" text="FALTA">
      <formula>NOT(ISERROR(SEARCH("FALTA",O6)))</formula>
    </cfRule>
    <cfRule type="containsText" dxfId="2207" priority="1308" operator="containsText" text="R. ALTO">
      <formula>NOT(ISERROR(SEARCH("R. ALTO",O6)))</formula>
    </cfRule>
    <cfRule type="containsText" dxfId="2206" priority="1309" operator="containsText" text="R. MODERADO">
      <formula>NOT(ISERROR(SEARCH("R. MODERADO",O6)))</formula>
    </cfRule>
    <cfRule type="containsText" dxfId="2205" priority="1310" operator="containsText" text="SANO">
      <formula>NOT(ISERROR(SEARCH("SANO",O6)))</formula>
    </cfRule>
  </conditionalFormatting>
  <conditionalFormatting sqref="O9">
    <cfRule type="containsText" dxfId="2204" priority="1301" operator="containsText" text="NO APLICA">
      <formula>NOT(ISERROR(SEARCH("NO APLICA",O9)))</formula>
    </cfRule>
    <cfRule type="containsText" dxfId="2203" priority="1302" operator="containsText" text="FALTA">
      <formula>NOT(ISERROR(SEARCH("FALTA",O9)))</formula>
    </cfRule>
    <cfRule type="containsText" dxfId="2202" priority="1303" operator="containsText" text="R. ALTO">
      <formula>NOT(ISERROR(SEARCH("R. ALTO",O9)))</formula>
    </cfRule>
    <cfRule type="containsText" dxfId="2201" priority="1304" operator="containsText" text="R. MODERADO">
      <formula>NOT(ISERROR(SEARCH("R. MODERADO",O9)))</formula>
    </cfRule>
    <cfRule type="containsText" dxfId="2200" priority="1305" operator="containsText" text="SANO">
      <formula>NOT(ISERROR(SEARCH("SANO",O9)))</formula>
    </cfRule>
  </conditionalFormatting>
  <conditionalFormatting sqref="O16">
    <cfRule type="containsText" dxfId="2199" priority="1276" operator="containsText" text="NO APLICA">
      <formula>NOT(ISERROR(SEARCH("NO APLICA",O16)))</formula>
    </cfRule>
    <cfRule type="containsText" dxfId="2198" priority="1277" operator="containsText" text="FALTA">
      <formula>NOT(ISERROR(SEARCH("FALTA",O16)))</formula>
    </cfRule>
    <cfRule type="containsText" dxfId="2197" priority="1278" operator="containsText" text="R. ALTO">
      <formula>NOT(ISERROR(SEARCH("R. ALTO",O16)))</formula>
    </cfRule>
    <cfRule type="containsText" dxfId="2196" priority="1279" operator="containsText" text="R. MODERADO">
      <formula>NOT(ISERROR(SEARCH("R. MODERADO",O16)))</formula>
    </cfRule>
    <cfRule type="containsText" dxfId="2195" priority="1280" operator="containsText" text="SANO">
      <formula>NOT(ISERROR(SEARCH("SANO",O16)))</formula>
    </cfRule>
  </conditionalFormatting>
  <conditionalFormatting sqref="O17">
    <cfRule type="containsText" dxfId="2194" priority="1271" operator="containsText" text="NO APLICA">
      <formula>NOT(ISERROR(SEARCH("NO APLICA",O17)))</formula>
    </cfRule>
    <cfRule type="containsText" dxfId="2193" priority="1272" operator="containsText" text="FALTA">
      <formula>NOT(ISERROR(SEARCH("FALTA",O17)))</formula>
    </cfRule>
    <cfRule type="containsText" dxfId="2192" priority="1273" operator="containsText" text="R. ALTO">
      <formula>NOT(ISERROR(SEARCH("R. ALTO",O17)))</formula>
    </cfRule>
    <cfRule type="containsText" dxfId="2191" priority="1274" operator="containsText" text="R. MODERADO">
      <formula>NOT(ISERROR(SEARCH("R. MODERADO",O17)))</formula>
    </cfRule>
    <cfRule type="containsText" dxfId="2190" priority="1275" operator="containsText" text="SANO">
      <formula>NOT(ISERROR(SEARCH("SANO",O17)))</formula>
    </cfRule>
  </conditionalFormatting>
  <conditionalFormatting sqref="O21">
    <cfRule type="containsText" dxfId="2189" priority="1266" operator="containsText" text="NO APLICA">
      <formula>NOT(ISERROR(SEARCH("NO APLICA",O21)))</formula>
    </cfRule>
    <cfRule type="containsText" dxfId="2188" priority="1267" operator="containsText" text="FALTA">
      <formula>NOT(ISERROR(SEARCH("FALTA",O21)))</formula>
    </cfRule>
    <cfRule type="containsText" dxfId="2187" priority="1268" operator="containsText" text="R. ALTO">
      <formula>NOT(ISERROR(SEARCH("R. ALTO",O21)))</formula>
    </cfRule>
    <cfRule type="containsText" dxfId="2186" priority="1269" operator="containsText" text="R. MODERADO">
      <formula>NOT(ISERROR(SEARCH("R. MODERADO",O21)))</formula>
    </cfRule>
    <cfRule type="containsText" dxfId="2185" priority="1270" operator="containsText" text="SANO">
      <formula>NOT(ISERROR(SEARCH("SANO",O21)))</formula>
    </cfRule>
  </conditionalFormatting>
  <conditionalFormatting sqref="O25">
    <cfRule type="containsText" dxfId="2184" priority="1261" operator="containsText" text="NO APLICA">
      <formula>NOT(ISERROR(SEARCH("NO APLICA",O25)))</formula>
    </cfRule>
    <cfRule type="containsText" dxfId="2183" priority="1262" operator="containsText" text="FALTA">
      <formula>NOT(ISERROR(SEARCH("FALTA",O25)))</formula>
    </cfRule>
    <cfRule type="containsText" dxfId="2182" priority="1263" operator="containsText" text="R. ALTO">
      <formula>NOT(ISERROR(SEARCH("R. ALTO",O25)))</formula>
    </cfRule>
    <cfRule type="containsText" dxfId="2181" priority="1264" operator="containsText" text="R. MODERADO">
      <formula>NOT(ISERROR(SEARCH("R. MODERADO",O25)))</formula>
    </cfRule>
    <cfRule type="containsText" dxfId="2180" priority="1265" operator="containsText" text="SANO">
      <formula>NOT(ISERROR(SEARCH("SANO",O25)))</formula>
    </cfRule>
  </conditionalFormatting>
  <conditionalFormatting sqref="O27">
    <cfRule type="containsText" dxfId="2179" priority="1256" operator="containsText" text="NO APLICA">
      <formula>NOT(ISERROR(SEARCH("NO APLICA",O27)))</formula>
    </cfRule>
    <cfRule type="containsText" dxfId="2178" priority="1257" operator="containsText" text="FALTA">
      <formula>NOT(ISERROR(SEARCH("FALTA",O27)))</formula>
    </cfRule>
    <cfRule type="containsText" dxfId="2177" priority="1258" operator="containsText" text="R. ALTO">
      <formula>NOT(ISERROR(SEARCH("R. ALTO",O27)))</formula>
    </cfRule>
    <cfRule type="containsText" dxfId="2176" priority="1259" operator="containsText" text="R. MODERADO">
      <formula>NOT(ISERROR(SEARCH("R. MODERADO",O27)))</formula>
    </cfRule>
    <cfRule type="containsText" dxfId="2175" priority="1260" operator="containsText" text="SANO">
      <formula>NOT(ISERROR(SEARCH("SANO",O27)))</formula>
    </cfRule>
  </conditionalFormatting>
  <conditionalFormatting sqref="O33">
    <cfRule type="containsText" dxfId="2174" priority="1251" operator="containsText" text="NO APLICA">
      <formula>NOT(ISERROR(SEARCH("NO APLICA",O33)))</formula>
    </cfRule>
    <cfRule type="containsText" dxfId="2173" priority="1252" operator="containsText" text="FALTA">
      <formula>NOT(ISERROR(SEARCH("FALTA",O33)))</formula>
    </cfRule>
    <cfRule type="containsText" dxfId="2172" priority="1253" operator="containsText" text="R. ALTO">
      <formula>NOT(ISERROR(SEARCH("R. ALTO",O33)))</formula>
    </cfRule>
    <cfRule type="containsText" dxfId="2171" priority="1254" operator="containsText" text="R. MODERADO">
      <formula>NOT(ISERROR(SEARCH("R. MODERADO",O33)))</formula>
    </cfRule>
    <cfRule type="containsText" dxfId="2170" priority="1255" operator="containsText" text="SANO">
      <formula>NOT(ISERROR(SEARCH("SANO",O33)))</formula>
    </cfRule>
  </conditionalFormatting>
  <conditionalFormatting sqref="O36">
    <cfRule type="containsText" dxfId="2169" priority="1246" operator="containsText" text="NO APLICA">
      <formula>NOT(ISERROR(SEARCH("NO APLICA",O36)))</formula>
    </cfRule>
    <cfRule type="containsText" dxfId="2168" priority="1247" operator="containsText" text="FALTA">
      <formula>NOT(ISERROR(SEARCH("FALTA",O36)))</formula>
    </cfRule>
    <cfRule type="containsText" dxfId="2167" priority="1248" operator="containsText" text="R. ALTO">
      <formula>NOT(ISERROR(SEARCH("R. ALTO",O36)))</formula>
    </cfRule>
    <cfRule type="containsText" dxfId="2166" priority="1249" operator="containsText" text="R. MODERADO">
      <formula>NOT(ISERROR(SEARCH("R. MODERADO",O36)))</formula>
    </cfRule>
    <cfRule type="containsText" dxfId="2165" priority="1250" operator="containsText" text="SANO">
      <formula>NOT(ISERROR(SEARCH("SANO",O36)))</formula>
    </cfRule>
  </conditionalFormatting>
  <conditionalFormatting sqref="O52">
    <cfRule type="containsText" dxfId="2164" priority="1241" operator="containsText" text="NO APLICA">
      <formula>NOT(ISERROR(SEARCH("NO APLICA",O52)))</formula>
    </cfRule>
    <cfRule type="containsText" dxfId="2163" priority="1242" operator="containsText" text="FALTA">
      <formula>NOT(ISERROR(SEARCH("FALTA",O52)))</formula>
    </cfRule>
    <cfRule type="containsText" dxfId="2162" priority="1243" operator="containsText" text="R. ALTO">
      <formula>NOT(ISERROR(SEARCH("R. ALTO",O52)))</formula>
    </cfRule>
    <cfRule type="containsText" dxfId="2161" priority="1244" operator="containsText" text="R. MODERADO">
      <formula>NOT(ISERROR(SEARCH("R. MODERADO",O52)))</formula>
    </cfRule>
    <cfRule type="containsText" dxfId="2160" priority="1245" operator="containsText" text="SANO">
      <formula>NOT(ISERROR(SEARCH("SANO",O52)))</formula>
    </cfRule>
  </conditionalFormatting>
  <conditionalFormatting sqref="O59">
    <cfRule type="containsText" dxfId="2159" priority="1236" operator="containsText" text="NO APLICA">
      <formula>NOT(ISERROR(SEARCH("NO APLICA",O59)))</formula>
    </cfRule>
    <cfRule type="containsText" dxfId="2158" priority="1237" operator="containsText" text="FALTA">
      <formula>NOT(ISERROR(SEARCH("FALTA",O59)))</formula>
    </cfRule>
    <cfRule type="containsText" dxfId="2157" priority="1238" operator="containsText" text="R. ALTO">
      <formula>NOT(ISERROR(SEARCH("R. ALTO",O59)))</formula>
    </cfRule>
    <cfRule type="containsText" dxfId="2156" priority="1239" operator="containsText" text="R. MODERADO">
      <formula>NOT(ISERROR(SEARCH("R. MODERADO",O59)))</formula>
    </cfRule>
    <cfRule type="containsText" dxfId="2155" priority="1240" operator="containsText" text="SANO">
      <formula>NOT(ISERROR(SEARCH("SANO",O59)))</formula>
    </cfRule>
  </conditionalFormatting>
  <conditionalFormatting sqref="O65">
    <cfRule type="containsText" dxfId="2154" priority="1231" operator="containsText" text="NO APLICA">
      <formula>NOT(ISERROR(SEARCH("NO APLICA",O65)))</formula>
    </cfRule>
    <cfRule type="containsText" dxfId="2153" priority="1232" operator="containsText" text="FALTA">
      <formula>NOT(ISERROR(SEARCH("FALTA",O65)))</formula>
    </cfRule>
    <cfRule type="containsText" dxfId="2152" priority="1233" operator="containsText" text="R. ALTO">
      <formula>NOT(ISERROR(SEARCH("R. ALTO",O65)))</formula>
    </cfRule>
    <cfRule type="containsText" dxfId="2151" priority="1234" operator="containsText" text="R. MODERADO">
      <formula>NOT(ISERROR(SEARCH("R. MODERADO",O65)))</formula>
    </cfRule>
    <cfRule type="containsText" dxfId="2150" priority="1235" operator="containsText" text="SANO">
      <formula>NOT(ISERROR(SEARCH("SANO",O65)))</formula>
    </cfRule>
  </conditionalFormatting>
  <conditionalFormatting sqref="O70">
    <cfRule type="containsText" dxfId="2149" priority="1226" operator="containsText" text="NO APLICA">
      <formula>NOT(ISERROR(SEARCH("NO APLICA",O70)))</formula>
    </cfRule>
    <cfRule type="containsText" dxfId="2148" priority="1227" operator="containsText" text="FALTA">
      <formula>NOT(ISERROR(SEARCH("FALTA",O70)))</formula>
    </cfRule>
    <cfRule type="containsText" dxfId="2147" priority="1228" operator="containsText" text="R. ALTO">
      <formula>NOT(ISERROR(SEARCH("R. ALTO",O70)))</formula>
    </cfRule>
    <cfRule type="containsText" dxfId="2146" priority="1229" operator="containsText" text="R. MODERADO">
      <formula>NOT(ISERROR(SEARCH("R. MODERADO",O70)))</formula>
    </cfRule>
    <cfRule type="containsText" dxfId="2145" priority="1230" operator="containsText" text="SANO">
      <formula>NOT(ISERROR(SEARCH("SANO",O70)))</formula>
    </cfRule>
  </conditionalFormatting>
  <conditionalFormatting sqref="O85">
    <cfRule type="containsText" dxfId="2144" priority="1221" operator="containsText" text="NO APLICA">
      <formula>NOT(ISERROR(SEARCH("NO APLICA",O85)))</formula>
    </cfRule>
    <cfRule type="containsText" dxfId="2143" priority="1222" operator="containsText" text="FALTA">
      <formula>NOT(ISERROR(SEARCH("FALTA",O85)))</formula>
    </cfRule>
    <cfRule type="containsText" dxfId="2142" priority="1223" operator="containsText" text="R. ALTO">
      <formula>NOT(ISERROR(SEARCH("R. ALTO",O85)))</formula>
    </cfRule>
    <cfRule type="containsText" dxfId="2141" priority="1224" operator="containsText" text="R. MODERADO">
      <formula>NOT(ISERROR(SEARCH("R. MODERADO",O85)))</formula>
    </cfRule>
    <cfRule type="containsText" dxfId="2140" priority="1225" operator="containsText" text="SANO">
      <formula>NOT(ISERROR(SEARCH("SANO",O85)))</formula>
    </cfRule>
  </conditionalFormatting>
  <conditionalFormatting sqref="O7:O8 O13:O14 O18">
    <cfRule type="containsText" dxfId="2139" priority="696" operator="containsText" text="NO APLICA">
      <formula>NOT(ISERROR(SEARCH("NO APLICA",O7)))</formula>
    </cfRule>
    <cfRule type="containsText" dxfId="2138" priority="697" operator="containsText" text="FALTA">
      <formula>NOT(ISERROR(SEARCH("FALTA",O7)))</formula>
    </cfRule>
    <cfRule type="containsText" dxfId="2137" priority="698" operator="containsText" text="R. ALTO">
      <formula>NOT(ISERROR(SEARCH("R. ALTO",O7)))</formula>
    </cfRule>
    <cfRule type="containsText" dxfId="2136" priority="699" operator="containsText" text="R. MODERADO">
      <formula>NOT(ISERROR(SEARCH("R. MODERADO",O7)))</formula>
    </cfRule>
    <cfRule type="containsText" dxfId="2135" priority="700" operator="containsText" text="SANO">
      <formula>NOT(ISERROR(SEARCH("SANO",O7)))</formula>
    </cfRule>
  </conditionalFormatting>
  <conditionalFormatting sqref="O5">
    <cfRule type="containsText" dxfId="2134" priority="901" operator="containsText" text="NO APLICA">
      <formula>NOT(ISERROR(SEARCH("NO APLICA",O5)))</formula>
    </cfRule>
    <cfRule type="containsText" dxfId="2133" priority="902" operator="containsText" text="FALTA">
      <formula>NOT(ISERROR(SEARCH("FALTA",O5)))</formula>
    </cfRule>
    <cfRule type="containsText" dxfId="2132" priority="903" operator="containsText" text="R. ALTO">
      <formula>NOT(ISERROR(SEARCH("R. ALTO",O5)))</formula>
    </cfRule>
    <cfRule type="containsText" dxfId="2131" priority="904" operator="containsText" text="R. MODERADO">
      <formula>NOT(ISERROR(SEARCH("R. MODERADO",O5)))</formula>
    </cfRule>
    <cfRule type="containsText" dxfId="2130" priority="905" operator="containsText" text="SANO">
      <formula>NOT(ISERROR(SEARCH("SANO",O5)))</formula>
    </cfRule>
  </conditionalFormatting>
  <conditionalFormatting sqref="O10">
    <cfRule type="containsText" dxfId="2129" priority="896" operator="containsText" text="NO APLICA">
      <formula>NOT(ISERROR(SEARCH("NO APLICA",O10)))</formula>
    </cfRule>
    <cfRule type="containsText" dxfId="2128" priority="897" operator="containsText" text="FALTA">
      <formula>NOT(ISERROR(SEARCH("FALTA",O10)))</formula>
    </cfRule>
    <cfRule type="containsText" dxfId="2127" priority="898" operator="containsText" text="R. ALTO">
      <formula>NOT(ISERROR(SEARCH("R. ALTO",O10)))</formula>
    </cfRule>
    <cfRule type="containsText" dxfId="2126" priority="899" operator="containsText" text="R. MODERADO">
      <formula>NOT(ISERROR(SEARCH("R. MODERADO",O10)))</formula>
    </cfRule>
    <cfRule type="containsText" dxfId="2125" priority="900" operator="containsText" text="SANO">
      <formula>NOT(ISERROR(SEARCH("SANO",O10)))</formula>
    </cfRule>
  </conditionalFormatting>
  <conditionalFormatting sqref="O12">
    <cfRule type="containsText" dxfId="2124" priority="886" operator="containsText" text="NO APLICA">
      <formula>NOT(ISERROR(SEARCH("NO APLICA",O12)))</formula>
    </cfRule>
    <cfRule type="containsText" dxfId="2123" priority="887" operator="containsText" text="FALTA">
      <formula>NOT(ISERROR(SEARCH("FALTA",O12)))</formula>
    </cfRule>
    <cfRule type="containsText" dxfId="2122" priority="888" operator="containsText" text="R. ALTO">
      <formula>NOT(ISERROR(SEARCH("R. ALTO",O12)))</formula>
    </cfRule>
    <cfRule type="containsText" dxfId="2121" priority="889" operator="containsText" text="R. MODERADO">
      <formula>NOT(ISERROR(SEARCH("R. MODERADO",O12)))</formula>
    </cfRule>
    <cfRule type="containsText" dxfId="2120" priority="890" operator="containsText" text="SANO">
      <formula>NOT(ISERROR(SEARCH("SANO",O12)))</formula>
    </cfRule>
  </conditionalFormatting>
  <conditionalFormatting sqref="O15">
    <cfRule type="containsText" dxfId="2119" priority="881" operator="containsText" text="NO APLICA">
      <formula>NOT(ISERROR(SEARCH("NO APLICA",O15)))</formula>
    </cfRule>
    <cfRule type="containsText" dxfId="2118" priority="882" operator="containsText" text="FALTA">
      <formula>NOT(ISERROR(SEARCH("FALTA",O15)))</formula>
    </cfRule>
    <cfRule type="containsText" dxfId="2117" priority="883" operator="containsText" text="R. ALTO">
      <formula>NOT(ISERROR(SEARCH("R. ALTO",O15)))</formula>
    </cfRule>
    <cfRule type="containsText" dxfId="2116" priority="884" operator="containsText" text="R. MODERADO">
      <formula>NOT(ISERROR(SEARCH("R. MODERADO",O15)))</formula>
    </cfRule>
    <cfRule type="containsText" dxfId="2115" priority="885" operator="containsText" text="SANO">
      <formula>NOT(ISERROR(SEARCH("SANO",O15)))</formula>
    </cfRule>
  </conditionalFormatting>
  <conditionalFormatting sqref="O19">
    <cfRule type="containsText" dxfId="2114" priority="876" operator="containsText" text="NO APLICA">
      <formula>NOT(ISERROR(SEARCH("NO APLICA",O19)))</formula>
    </cfRule>
    <cfRule type="containsText" dxfId="2113" priority="877" operator="containsText" text="FALTA">
      <formula>NOT(ISERROR(SEARCH("FALTA",O19)))</formula>
    </cfRule>
    <cfRule type="containsText" dxfId="2112" priority="878" operator="containsText" text="R. ALTO">
      <formula>NOT(ISERROR(SEARCH("R. ALTO",O19)))</formula>
    </cfRule>
    <cfRule type="containsText" dxfId="2111" priority="879" operator="containsText" text="R. MODERADO">
      <formula>NOT(ISERROR(SEARCH("R. MODERADO",O19)))</formula>
    </cfRule>
    <cfRule type="containsText" dxfId="2110" priority="880" operator="containsText" text="SANO">
      <formula>NOT(ISERROR(SEARCH("SANO",O19)))</formula>
    </cfRule>
  </conditionalFormatting>
  <conditionalFormatting sqref="O20">
    <cfRule type="containsText" dxfId="2109" priority="871" operator="containsText" text="NO APLICA">
      <formula>NOT(ISERROR(SEARCH("NO APLICA",O20)))</formula>
    </cfRule>
    <cfRule type="containsText" dxfId="2108" priority="872" operator="containsText" text="FALTA">
      <formula>NOT(ISERROR(SEARCH("FALTA",O20)))</formula>
    </cfRule>
    <cfRule type="containsText" dxfId="2107" priority="873" operator="containsText" text="R. ALTO">
      <formula>NOT(ISERROR(SEARCH("R. ALTO",O20)))</formula>
    </cfRule>
    <cfRule type="containsText" dxfId="2106" priority="874" operator="containsText" text="R. MODERADO">
      <formula>NOT(ISERROR(SEARCH("R. MODERADO",O20)))</formula>
    </cfRule>
    <cfRule type="containsText" dxfId="2105" priority="875" operator="containsText" text="SANO">
      <formula>NOT(ISERROR(SEARCH("SANO",O20)))</formula>
    </cfRule>
  </conditionalFormatting>
  <conditionalFormatting sqref="O23">
    <cfRule type="containsText" dxfId="2104" priority="866" operator="containsText" text="NO APLICA">
      <formula>NOT(ISERROR(SEARCH("NO APLICA",O23)))</formula>
    </cfRule>
    <cfRule type="containsText" dxfId="2103" priority="867" operator="containsText" text="FALTA">
      <formula>NOT(ISERROR(SEARCH("FALTA",O23)))</formula>
    </cfRule>
    <cfRule type="containsText" dxfId="2102" priority="868" operator="containsText" text="R. ALTO">
      <formula>NOT(ISERROR(SEARCH("R. ALTO",O23)))</formula>
    </cfRule>
    <cfRule type="containsText" dxfId="2101" priority="869" operator="containsText" text="R. MODERADO">
      <formula>NOT(ISERROR(SEARCH("R. MODERADO",O23)))</formula>
    </cfRule>
    <cfRule type="containsText" dxfId="2100" priority="870" operator="containsText" text="SANO">
      <formula>NOT(ISERROR(SEARCH("SANO",O23)))</formula>
    </cfRule>
  </conditionalFormatting>
  <conditionalFormatting sqref="O29">
    <cfRule type="containsText" dxfId="2099" priority="861" operator="containsText" text="NO APLICA">
      <formula>NOT(ISERROR(SEARCH("NO APLICA",O29)))</formula>
    </cfRule>
    <cfRule type="containsText" dxfId="2098" priority="862" operator="containsText" text="FALTA">
      <formula>NOT(ISERROR(SEARCH("FALTA",O29)))</formula>
    </cfRule>
    <cfRule type="containsText" dxfId="2097" priority="863" operator="containsText" text="R. ALTO">
      <formula>NOT(ISERROR(SEARCH("R. ALTO",O29)))</formula>
    </cfRule>
    <cfRule type="containsText" dxfId="2096" priority="864" operator="containsText" text="R. MODERADO">
      <formula>NOT(ISERROR(SEARCH("R. MODERADO",O29)))</formula>
    </cfRule>
    <cfRule type="containsText" dxfId="2095" priority="865" operator="containsText" text="SANO">
      <formula>NOT(ISERROR(SEARCH("SANO",O29)))</formula>
    </cfRule>
  </conditionalFormatting>
  <conditionalFormatting sqref="O34">
    <cfRule type="containsText" dxfId="2094" priority="851" operator="containsText" text="NO APLICA">
      <formula>NOT(ISERROR(SEARCH("NO APLICA",O34)))</formula>
    </cfRule>
    <cfRule type="containsText" dxfId="2093" priority="852" operator="containsText" text="FALTA">
      <formula>NOT(ISERROR(SEARCH("FALTA",O34)))</formula>
    </cfRule>
    <cfRule type="containsText" dxfId="2092" priority="853" operator="containsText" text="R. ALTO">
      <formula>NOT(ISERROR(SEARCH("R. ALTO",O34)))</formula>
    </cfRule>
    <cfRule type="containsText" dxfId="2091" priority="854" operator="containsText" text="R. MODERADO">
      <formula>NOT(ISERROR(SEARCH("R. MODERADO",O34)))</formula>
    </cfRule>
    <cfRule type="containsText" dxfId="2090" priority="855" operator="containsText" text="SANO">
      <formula>NOT(ISERROR(SEARCH("SANO",O34)))</formula>
    </cfRule>
  </conditionalFormatting>
  <conditionalFormatting sqref="O35">
    <cfRule type="containsText" dxfId="2089" priority="846" operator="containsText" text="NO APLICA">
      <formula>NOT(ISERROR(SEARCH("NO APLICA",O35)))</formula>
    </cfRule>
    <cfRule type="containsText" dxfId="2088" priority="847" operator="containsText" text="FALTA">
      <formula>NOT(ISERROR(SEARCH("FALTA",O35)))</formula>
    </cfRule>
    <cfRule type="containsText" dxfId="2087" priority="848" operator="containsText" text="R. ALTO">
      <formula>NOT(ISERROR(SEARCH("R. ALTO",O35)))</formula>
    </cfRule>
    <cfRule type="containsText" dxfId="2086" priority="849" operator="containsText" text="R. MODERADO">
      <formula>NOT(ISERROR(SEARCH("R. MODERADO",O35)))</formula>
    </cfRule>
    <cfRule type="containsText" dxfId="2085" priority="850" operator="containsText" text="SANO">
      <formula>NOT(ISERROR(SEARCH("SANO",O35)))</formula>
    </cfRule>
  </conditionalFormatting>
  <conditionalFormatting sqref="O44">
    <cfRule type="containsText" dxfId="2084" priority="836" operator="containsText" text="NO APLICA">
      <formula>NOT(ISERROR(SEARCH("NO APLICA",O44)))</formula>
    </cfRule>
    <cfRule type="containsText" dxfId="2083" priority="837" operator="containsText" text="FALTA">
      <formula>NOT(ISERROR(SEARCH("FALTA",O44)))</formula>
    </cfRule>
    <cfRule type="containsText" dxfId="2082" priority="838" operator="containsText" text="R. ALTO">
      <formula>NOT(ISERROR(SEARCH("R. ALTO",O44)))</formula>
    </cfRule>
    <cfRule type="containsText" dxfId="2081" priority="839" operator="containsText" text="R. MODERADO">
      <formula>NOT(ISERROR(SEARCH("R. MODERADO",O44)))</formula>
    </cfRule>
    <cfRule type="containsText" dxfId="2080" priority="840" operator="containsText" text="SANO">
      <formula>NOT(ISERROR(SEARCH("SANO",O44)))</formula>
    </cfRule>
  </conditionalFormatting>
  <conditionalFormatting sqref="O46">
    <cfRule type="containsText" dxfId="2079" priority="831" operator="containsText" text="NO APLICA">
      <formula>NOT(ISERROR(SEARCH("NO APLICA",O46)))</formula>
    </cfRule>
    <cfRule type="containsText" dxfId="2078" priority="832" operator="containsText" text="FALTA">
      <formula>NOT(ISERROR(SEARCH("FALTA",O46)))</formula>
    </cfRule>
    <cfRule type="containsText" dxfId="2077" priority="833" operator="containsText" text="R. ALTO">
      <formula>NOT(ISERROR(SEARCH("R. ALTO",O46)))</formula>
    </cfRule>
    <cfRule type="containsText" dxfId="2076" priority="834" operator="containsText" text="R. MODERADO">
      <formula>NOT(ISERROR(SEARCH("R. MODERADO",O46)))</formula>
    </cfRule>
    <cfRule type="containsText" dxfId="2075" priority="835" operator="containsText" text="SANO">
      <formula>NOT(ISERROR(SEARCH("SANO",O46)))</formula>
    </cfRule>
  </conditionalFormatting>
  <conditionalFormatting sqref="O47">
    <cfRule type="containsText" dxfId="2074" priority="826" operator="containsText" text="NO APLICA">
      <formula>NOT(ISERROR(SEARCH("NO APLICA",O47)))</formula>
    </cfRule>
    <cfRule type="containsText" dxfId="2073" priority="827" operator="containsText" text="FALTA">
      <formula>NOT(ISERROR(SEARCH("FALTA",O47)))</formula>
    </cfRule>
    <cfRule type="containsText" dxfId="2072" priority="828" operator="containsText" text="R. ALTO">
      <formula>NOT(ISERROR(SEARCH("R. ALTO",O47)))</formula>
    </cfRule>
    <cfRule type="containsText" dxfId="2071" priority="829" operator="containsText" text="R. MODERADO">
      <formula>NOT(ISERROR(SEARCH("R. MODERADO",O47)))</formula>
    </cfRule>
    <cfRule type="containsText" dxfId="2070" priority="830" operator="containsText" text="SANO">
      <formula>NOT(ISERROR(SEARCH("SANO",O47)))</formula>
    </cfRule>
  </conditionalFormatting>
  <conditionalFormatting sqref="O49">
    <cfRule type="containsText" dxfId="2069" priority="821" operator="containsText" text="NO APLICA">
      <formula>NOT(ISERROR(SEARCH("NO APLICA",O49)))</formula>
    </cfRule>
    <cfRule type="containsText" dxfId="2068" priority="822" operator="containsText" text="FALTA">
      <formula>NOT(ISERROR(SEARCH("FALTA",O49)))</formula>
    </cfRule>
    <cfRule type="containsText" dxfId="2067" priority="823" operator="containsText" text="R. ALTO">
      <formula>NOT(ISERROR(SEARCH("R. ALTO",O49)))</formula>
    </cfRule>
    <cfRule type="containsText" dxfId="2066" priority="824" operator="containsText" text="R. MODERADO">
      <formula>NOT(ISERROR(SEARCH("R. MODERADO",O49)))</formula>
    </cfRule>
    <cfRule type="containsText" dxfId="2065" priority="825" operator="containsText" text="SANO">
      <formula>NOT(ISERROR(SEARCH("SANO",O49)))</formula>
    </cfRule>
  </conditionalFormatting>
  <conditionalFormatting sqref="O57">
    <cfRule type="containsText" dxfId="2064" priority="816" operator="containsText" text="NO APLICA">
      <formula>NOT(ISERROR(SEARCH("NO APLICA",O57)))</formula>
    </cfRule>
    <cfRule type="containsText" dxfId="2063" priority="817" operator="containsText" text="FALTA">
      <formula>NOT(ISERROR(SEARCH("FALTA",O57)))</formula>
    </cfRule>
    <cfRule type="containsText" dxfId="2062" priority="818" operator="containsText" text="R. ALTO">
      <formula>NOT(ISERROR(SEARCH("R. ALTO",O57)))</formula>
    </cfRule>
    <cfRule type="containsText" dxfId="2061" priority="819" operator="containsText" text="R. MODERADO">
      <formula>NOT(ISERROR(SEARCH("R. MODERADO",O57)))</formula>
    </cfRule>
    <cfRule type="containsText" dxfId="2060" priority="820" operator="containsText" text="SANO">
      <formula>NOT(ISERROR(SEARCH("SANO",O57)))</formula>
    </cfRule>
  </conditionalFormatting>
  <conditionalFormatting sqref="O67">
    <cfRule type="containsText" dxfId="2059" priority="811" operator="containsText" text="NO APLICA">
      <formula>NOT(ISERROR(SEARCH("NO APLICA",O67)))</formula>
    </cfRule>
    <cfRule type="containsText" dxfId="2058" priority="812" operator="containsText" text="FALTA">
      <formula>NOT(ISERROR(SEARCH("FALTA",O67)))</formula>
    </cfRule>
    <cfRule type="containsText" dxfId="2057" priority="813" operator="containsText" text="R. ALTO">
      <formula>NOT(ISERROR(SEARCH("R. ALTO",O67)))</formula>
    </cfRule>
    <cfRule type="containsText" dxfId="2056" priority="814" operator="containsText" text="R. MODERADO">
      <formula>NOT(ISERROR(SEARCH("R. MODERADO",O67)))</formula>
    </cfRule>
    <cfRule type="containsText" dxfId="2055" priority="815" operator="containsText" text="SANO">
      <formula>NOT(ISERROR(SEARCH("SANO",O67)))</formula>
    </cfRule>
  </conditionalFormatting>
  <conditionalFormatting sqref="O68">
    <cfRule type="containsText" dxfId="2054" priority="801" operator="containsText" text="NO APLICA">
      <formula>NOT(ISERROR(SEARCH("NO APLICA",O68)))</formula>
    </cfRule>
    <cfRule type="containsText" dxfId="2053" priority="802" operator="containsText" text="FALTA">
      <formula>NOT(ISERROR(SEARCH("FALTA",O68)))</formula>
    </cfRule>
    <cfRule type="containsText" dxfId="2052" priority="803" operator="containsText" text="R. ALTO">
      <formula>NOT(ISERROR(SEARCH("R. ALTO",O68)))</formula>
    </cfRule>
    <cfRule type="containsText" dxfId="2051" priority="804" operator="containsText" text="R. MODERADO">
      <formula>NOT(ISERROR(SEARCH("R. MODERADO",O68)))</formula>
    </cfRule>
    <cfRule type="containsText" dxfId="2050" priority="805" operator="containsText" text="SANO">
      <formula>NOT(ISERROR(SEARCH("SANO",O68)))</formula>
    </cfRule>
  </conditionalFormatting>
  <conditionalFormatting sqref="O74">
    <cfRule type="containsText" dxfId="2049" priority="796" operator="containsText" text="NO APLICA">
      <formula>NOT(ISERROR(SEARCH("NO APLICA",O74)))</formula>
    </cfRule>
    <cfRule type="containsText" dxfId="2048" priority="797" operator="containsText" text="FALTA">
      <formula>NOT(ISERROR(SEARCH("FALTA",O74)))</formula>
    </cfRule>
    <cfRule type="containsText" dxfId="2047" priority="798" operator="containsText" text="R. ALTO">
      <formula>NOT(ISERROR(SEARCH("R. ALTO",O74)))</formula>
    </cfRule>
    <cfRule type="containsText" dxfId="2046" priority="799" operator="containsText" text="R. MODERADO">
      <formula>NOT(ISERROR(SEARCH("R. MODERADO",O74)))</formula>
    </cfRule>
    <cfRule type="containsText" dxfId="2045" priority="800" operator="containsText" text="SANO">
      <formula>NOT(ISERROR(SEARCH("SANO",O74)))</formula>
    </cfRule>
  </conditionalFormatting>
  <conditionalFormatting sqref="O82">
    <cfRule type="containsText" dxfId="2044" priority="791" operator="containsText" text="NO APLICA">
      <formula>NOT(ISERROR(SEARCH("NO APLICA",O82)))</formula>
    </cfRule>
    <cfRule type="containsText" dxfId="2043" priority="792" operator="containsText" text="FALTA">
      <formula>NOT(ISERROR(SEARCH("FALTA",O82)))</formula>
    </cfRule>
    <cfRule type="containsText" dxfId="2042" priority="793" operator="containsText" text="R. ALTO">
      <formula>NOT(ISERROR(SEARCH("R. ALTO",O82)))</formula>
    </cfRule>
    <cfRule type="containsText" dxfId="2041" priority="794" operator="containsText" text="R. MODERADO">
      <formula>NOT(ISERROR(SEARCH("R. MODERADO",O82)))</formula>
    </cfRule>
    <cfRule type="containsText" dxfId="2040" priority="795" operator="containsText" text="SANO">
      <formula>NOT(ISERROR(SEARCH("SANO",O82)))</formula>
    </cfRule>
  </conditionalFormatting>
  <conditionalFormatting sqref="O89">
    <cfRule type="containsText" dxfId="2039" priority="786" operator="containsText" text="NO APLICA">
      <formula>NOT(ISERROR(SEARCH("NO APLICA",O89)))</formula>
    </cfRule>
    <cfRule type="containsText" dxfId="2038" priority="787" operator="containsText" text="FALTA">
      <formula>NOT(ISERROR(SEARCH("FALTA",O89)))</formula>
    </cfRule>
    <cfRule type="containsText" dxfId="2037" priority="788" operator="containsText" text="R. ALTO">
      <formula>NOT(ISERROR(SEARCH("R. ALTO",O89)))</formula>
    </cfRule>
    <cfRule type="containsText" dxfId="2036" priority="789" operator="containsText" text="R. MODERADO">
      <formula>NOT(ISERROR(SEARCH("R. MODERADO",O89)))</formula>
    </cfRule>
    <cfRule type="containsText" dxfId="2035" priority="790" operator="containsText" text="SANO">
      <formula>NOT(ISERROR(SEARCH("SANO",O89)))</formula>
    </cfRule>
  </conditionalFormatting>
  <conditionalFormatting sqref="O91">
    <cfRule type="containsText" dxfId="2034" priority="781" operator="containsText" text="NO APLICA">
      <formula>NOT(ISERROR(SEARCH("NO APLICA",O91)))</formula>
    </cfRule>
    <cfRule type="containsText" dxfId="2033" priority="782" operator="containsText" text="FALTA">
      <formula>NOT(ISERROR(SEARCH("FALTA",O91)))</formula>
    </cfRule>
    <cfRule type="containsText" dxfId="2032" priority="783" operator="containsText" text="R. ALTO">
      <formula>NOT(ISERROR(SEARCH("R. ALTO",O91)))</formula>
    </cfRule>
    <cfRule type="containsText" dxfId="2031" priority="784" operator="containsText" text="R. MODERADO">
      <formula>NOT(ISERROR(SEARCH("R. MODERADO",O91)))</formula>
    </cfRule>
    <cfRule type="containsText" dxfId="2030" priority="785" operator="containsText" text="SANO">
      <formula>NOT(ISERROR(SEARCH("SANO",O91)))</formula>
    </cfRule>
  </conditionalFormatting>
  <conditionalFormatting sqref="O92">
    <cfRule type="containsText" dxfId="2029" priority="776" operator="containsText" text="NO APLICA">
      <formula>NOT(ISERROR(SEARCH("NO APLICA",O92)))</formula>
    </cfRule>
    <cfRule type="containsText" dxfId="2028" priority="777" operator="containsText" text="FALTA">
      <formula>NOT(ISERROR(SEARCH("FALTA",O92)))</formula>
    </cfRule>
    <cfRule type="containsText" dxfId="2027" priority="778" operator="containsText" text="R. ALTO">
      <formula>NOT(ISERROR(SEARCH("R. ALTO",O92)))</formula>
    </cfRule>
    <cfRule type="containsText" dxfId="2026" priority="779" operator="containsText" text="R. MODERADO">
      <formula>NOT(ISERROR(SEARCH("R. MODERADO",O92)))</formula>
    </cfRule>
    <cfRule type="containsText" dxfId="2025" priority="780" operator="containsText" text="SANO">
      <formula>NOT(ISERROR(SEARCH("SANO",O92)))</formula>
    </cfRule>
  </conditionalFormatting>
  <conditionalFormatting sqref="O94">
    <cfRule type="containsText" dxfId="2024" priority="771" operator="containsText" text="NO APLICA">
      <formula>NOT(ISERROR(SEARCH("NO APLICA",O94)))</formula>
    </cfRule>
    <cfRule type="containsText" dxfId="2023" priority="772" operator="containsText" text="FALTA">
      <formula>NOT(ISERROR(SEARCH("FALTA",O94)))</formula>
    </cfRule>
    <cfRule type="containsText" dxfId="2022" priority="773" operator="containsText" text="R. ALTO">
      <formula>NOT(ISERROR(SEARCH("R. ALTO",O94)))</formula>
    </cfRule>
    <cfRule type="containsText" dxfId="2021" priority="774" operator="containsText" text="R. MODERADO">
      <formula>NOT(ISERROR(SEARCH("R. MODERADO",O94)))</formula>
    </cfRule>
    <cfRule type="containsText" dxfId="2020" priority="775" operator="containsText" text="SANO">
      <formula>NOT(ISERROR(SEARCH("SANO",O94)))</formula>
    </cfRule>
  </conditionalFormatting>
  <conditionalFormatting sqref="O115">
    <cfRule type="containsText" dxfId="2019" priority="766" operator="containsText" text="NO APLICA">
      <formula>NOT(ISERROR(SEARCH("NO APLICA",O115)))</formula>
    </cfRule>
    <cfRule type="containsText" dxfId="2018" priority="767" operator="containsText" text="FALTA">
      <formula>NOT(ISERROR(SEARCH("FALTA",O115)))</formula>
    </cfRule>
    <cfRule type="containsText" dxfId="2017" priority="768" operator="containsText" text="R. ALTO">
      <formula>NOT(ISERROR(SEARCH("R. ALTO",O115)))</formula>
    </cfRule>
    <cfRule type="containsText" dxfId="2016" priority="769" operator="containsText" text="R. MODERADO">
      <formula>NOT(ISERROR(SEARCH("R. MODERADO",O115)))</formula>
    </cfRule>
    <cfRule type="containsText" dxfId="2015" priority="770" operator="containsText" text="SANO">
      <formula>NOT(ISERROR(SEARCH("SANO",O115)))</formula>
    </cfRule>
  </conditionalFormatting>
  <conditionalFormatting sqref="O110">
    <cfRule type="containsText" dxfId="2014" priority="761" operator="containsText" text="NO APLICA">
      <formula>NOT(ISERROR(SEARCH("NO APLICA",O110)))</formula>
    </cfRule>
    <cfRule type="containsText" dxfId="2013" priority="762" operator="containsText" text="FALTA">
      <formula>NOT(ISERROR(SEARCH("FALTA",O110)))</formula>
    </cfRule>
    <cfRule type="containsText" dxfId="2012" priority="763" operator="containsText" text="R. ALTO">
      <formula>NOT(ISERROR(SEARCH("R. ALTO",O110)))</formula>
    </cfRule>
    <cfRule type="containsText" dxfId="2011" priority="764" operator="containsText" text="R. MODERADO">
      <formula>NOT(ISERROR(SEARCH("R. MODERADO",O110)))</formula>
    </cfRule>
    <cfRule type="containsText" dxfId="2010" priority="765" operator="containsText" text="SANO">
      <formula>NOT(ISERROR(SEARCH("SANO",O110)))</formula>
    </cfRule>
  </conditionalFormatting>
  <conditionalFormatting sqref="O114">
    <cfRule type="containsText" dxfId="2009" priority="756" operator="containsText" text="NO APLICA">
      <formula>NOT(ISERROR(SEARCH("NO APLICA",O114)))</formula>
    </cfRule>
    <cfRule type="containsText" dxfId="2008" priority="757" operator="containsText" text="FALTA">
      <formula>NOT(ISERROR(SEARCH("FALTA",O114)))</formula>
    </cfRule>
    <cfRule type="containsText" dxfId="2007" priority="758" operator="containsText" text="R. ALTO">
      <formula>NOT(ISERROR(SEARCH("R. ALTO",O114)))</formula>
    </cfRule>
    <cfRule type="containsText" dxfId="2006" priority="759" operator="containsText" text="R. MODERADO">
      <formula>NOT(ISERROR(SEARCH("R. MODERADO",O114)))</formula>
    </cfRule>
    <cfRule type="containsText" dxfId="2005" priority="760" operator="containsText" text="SANO">
      <formula>NOT(ISERROR(SEARCH("SANO",O114)))</formula>
    </cfRule>
  </conditionalFormatting>
  <conditionalFormatting sqref="O120">
    <cfRule type="containsText" dxfId="2004" priority="751" operator="containsText" text="NO APLICA">
      <formula>NOT(ISERROR(SEARCH("NO APLICA",O120)))</formula>
    </cfRule>
    <cfRule type="containsText" dxfId="2003" priority="752" operator="containsText" text="FALTA">
      <formula>NOT(ISERROR(SEARCH("FALTA",O120)))</formula>
    </cfRule>
    <cfRule type="containsText" dxfId="2002" priority="753" operator="containsText" text="R. ALTO">
      <formula>NOT(ISERROR(SEARCH("R. ALTO",O120)))</formula>
    </cfRule>
    <cfRule type="containsText" dxfId="2001" priority="754" operator="containsText" text="R. MODERADO">
      <formula>NOT(ISERROR(SEARCH("R. MODERADO",O120)))</formula>
    </cfRule>
    <cfRule type="containsText" dxfId="2000" priority="755" operator="containsText" text="SANO">
      <formula>NOT(ISERROR(SEARCH("SANO",O120)))</formula>
    </cfRule>
  </conditionalFormatting>
  <conditionalFormatting sqref="O124">
    <cfRule type="containsText" dxfId="1999" priority="741" operator="containsText" text="NO APLICA">
      <formula>NOT(ISERROR(SEARCH("NO APLICA",O124)))</formula>
    </cfRule>
    <cfRule type="containsText" dxfId="1998" priority="742" operator="containsText" text="FALTA">
      <formula>NOT(ISERROR(SEARCH("FALTA",O124)))</formula>
    </cfRule>
    <cfRule type="containsText" dxfId="1997" priority="743" operator="containsText" text="R. ALTO">
      <formula>NOT(ISERROR(SEARCH("R. ALTO",O124)))</formula>
    </cfRule>
    <cfRule type="containsText" dxfId="1996" priority="744" operator="containsText" text="R. MODERADO">
      <formula>NOT(ISERROR(SEARCH("R. MODERADO",O124)))</formula>
    </cfRule>
    <cfRule type="containsText" dxfId="1995" priority="745" operator="containsText" text="SANO">
      <formula>NOT(ISERROR(SEARCH("SANO",O124)))</formula>
    </cfRule>
  </conditionalFormatting>
  <conditionalFormatting sqref="O93">
    <cfRule type="containsText" dxfId="1994" priority="736" operator="containsText" text="NO APLICA">
      <formula>NOT(ISERROR(SEARCH("NO APLICA",O93)))</formula>
    </cfRule>
    <cfRule type="containsText" dxfId="1993" priority="737" operator="containsText" text="FALTA">
      <formula>NOT(ISERROR(SEARCH("FALTA",O93)))</formula>
    </cfRule>
    <cfRule type="containsText" dxfId="1992" priority="738" operator="containsText" text="R. ALTO">
      <formula>NOT(ISERROR(SEARCH("R. ALTO",O93)))</formula>
    </cfRule>
    <cfRule type="containsText" dxfId="1991" priority="739" operator="containsText" text="R. MODERADO">
      <formula>NOT(ISERROR(SEARCH("R. MODERADO",O93)))</formula>
    </cfRule>
    <cfRule type="containsText" dxfId="1990" priority="740" operator="containsText" text="SANO">
      <formula>NOT(ISERROR(SEARCH("SANO",O93)))</formula>
    </cfRule>
  </conditionalFormatting>
  <conditionalFormatting sqref="O86:O87">
    <cfRule type="containsText" dxfId="1989" priority="731" operator="containsText" text="NO APLICA">
      <formula>NOT(ISERROR(SEARCH("NO APLICA",O86)))</formula>
    </cfRule>
    <cfRule type="containsText" dxfId="1988" priority="732" operator="containsText" text="FALTA">
      <formula>NOT(ISERROR(SEARCH("FALTA",O86)))</formula>
    </cfRule>
    <cfRule type="containsText" dxfId="1987" priority="733" operator="containsText" text="R. ALTO">
      <formula>NOT(ISERROR(SEARCH("R. ALTO",O86)))</formula>
    </cfRule>
    <cfRule type="containsText" dxfId="1986" priority="734" operator="containsText" text="R. MODERADO">
      <formula>NOT(ISERROR(SEARCH("R. MODERADO",O86)))</formula>
    </cfRule>
    <cfRule type="containsText" dxfId="1985" priority="735" operator="containsText" text="SANO">
      <formula>NOT(ISERROR(SEARCH("SANO",O86)))</formula>
    </cfRule>
  </conditionalFormatting>
  <conditionalFormatting sqref="O84">
    <cfRule type="containsText" dxfId="1984" priority="726" operator="containsText" text="NO APLICA">
      <formula>NOT(ISERROR(SEARCH("NO APLICA",O84)))</formula>
    </cfRule>
    <cfRule type="containsText" dxfId="1983" priority="727" operator="containsText" text="FALTA">
      <formula>NOT(ISERROR(SEARCH("FALTA",O84)))</formula>
    </cfRule>
    <cfRule type="containsText" dxfId="1982" priority="728" operator="containsText" text="R. ALTO">
      <formula>NOT(ISERROR(SEARCH("R. ALTO",O84)))</formula>
    </cfRule>
    <cfRule type="containsText" dxfId="1981" priority="729" operator="containsText" text="R. MODERADO">
      <formula>NOT(ISERROR(SEARCH("R. MODERADO",O84)))</formula>
    </cfRule>
    <cfRule type="containsText" dxfId="1980" priority="730" operator="containsText" text="SANO">
      <formula>NOT(ISERROR(SEARCH("SANO",O84)))</formula>
    </cfRule>
  </conditionalFormatting>
  <conditionalFormatting sqref="O75">
    <cfRule type="containsText" dxfId="1979" priority="716" operator="containsText" text="NO APLICA">
      <formula>NOT(ISERROR(SEARCH("NO APLICA",O75)))</formula>
    </cfRule>
    <cfRule type="containsText" dxfId="1978" priority="717" operator="containsText" text="FALTA">
      <formula>NOT(ISERROR(SEARCH("FALTA",O75)))</formula>
    </cfRule>
    <cfRule type="containsText" dxfId="1977" priority="718" operator="containsText" text="R. ALTO">
      <formula>NOT(ISERROR(SEARCH("R. ALTO",O75)))</formula>
    </cfRule>
    <cfRule type="containsText" dxfId="1976" priority="719" operator="containsText" text="R. MODERADO">
      <formula>NOT(ISERROR(SEARCH("R. MODERADO",O75)))</formula>
    </cfRule>
    <cfRule type="containsText" dxfId="1975" priority="720" operator="containsText" text="SANO">
      <formula>NOT(ISERROR(SEARCH("SANO",O75)))</formula>
    </cfRule>
  </conditionalFormatting>
  <conditionalFormatting sqref="O71:O73">
    <cfRule type="containsText" dxfId="1974" priority="711" operator="containsText" text="NO APLICA">
      <formula>NOT(ISERROR(SEARCH("NO APLICA",O71)))</formula>
    </cfRule>
    <cfRule type="containsText" dxfId="1973" priority="712" operator="containsText" text="FALTA">
      <formula>NOT(ISERROR(SEARCH("FALTA",O71)))</formula>
    </cfRule>
    <cfRule type="containsText" dxfId="1972" priority="713" operator="containsText" text="R. ALTO">
      <formula>NOT(ISERROR(SEARCH("R. ALTO",O71)))</formula>
    </cfRule>
    <cfRule type="containsText" dxfId="1971" priority="714" operator="containsText" text="R. MODERADO">
      <formula>NOT(ISERROR(SEARCH("R. MODERADO",O71)))</formula>
    </cfRule>
    <cfRule type="containsText" dxfId="1970" priority="715" operator="containsText" text="SANO">
      <formula>NOT(ISERROR(SEARCH("SANO",O71)))</formula>
    </cfRule>
  </conditionalFormatting>
  <conditionalFormatting sqref="O43 O45 O48 O51 O58 O60:O64 O69">
    <cfRule type="containsText" dxfId="1969" priority="706" operator="containsText" text="NO APLICA">
      <formula>NOT(ISERROR(SEARCH("NO APLICA",O43)))</formula>
    </cfRule>
    <cfRule type="containsText" dxfId="1968" priority="707" operator="containsText" text="FALTA">
      <formula>NOT(ISERROR(SEARCH("FALTA",O43)))</formula>
    </cfRule>
    <cfRule type="containsText" dxfId="1967" priority="708" operator="containsText" text="R. ALTO">
      <formula>NOT(ISERROR(SEARCH("R. ALTO",O43)))</formula>
    </cfRule>
    <cfRule type="containsText" dxfId="1966" priority="709" operator="containsText" text="R. MODERADO">
      <formula>NOT(ISERROR(SEARCH("R. MODERADO",O43)))</formula>
    </cfRule>
    <cfRule type="containsText" dxfId="1965" priority="710" operator="containsText" text="SANO">
      <formula>NOT(ISERROR(SEARCH("SANO",O43)))</formula>
    </cfRule>
  </conditionalFormatting>
  <conditionalFormatting sqref="O22 O26 O28 O30:O32">
    <cfRule type="containsText" dxfId="1964" priority="701" operator="containsText" text="NO APLICA">
      <formula>NOT(ISERROR(SEARCH("NO APLICA",O22)))</formula>
    </cfRule>
    <cfRule type="containsText" dxfId="1963" priority="702" operator="containsText" text="FALTA">
      <formula>NOT(ISERROR(SEARCH("FALTA",O22)))</formula>
    </cfRule>
    <cfRule type="containsText" dxfId="1962" priority="703" operator="containsText" text="R. ALTO">
      <formula>NOT(ISERROR(SEARCH("R. ALTO",O22)))</formula>
    </cfRule>
    <cfRule type="containsText" dxfId="1961" priority="704" operator="containsText" text="R. MODERADO">
      <formula>NOT(ISERROR(SEARCH("R. MODERADO",O22)))</formula>
    </cfRule>
    <cfRule type="containsText" dxfId="1960" priority="705" operator="containsText" text="SANO">
      <formula>NOT(ISERROR(SEARCH("SANO",O22)))</formula>
    </cfRule>
  </conditionalFormatting>
  <conditionalFormatting sqref="P2:P87 P106:P110 P112:P117 P120 P122:P126 P130 P139:P1048576 P89:P98 P100 P102:P104">
    <cfRule type="containsText" dxfId="1959" priority="295" operator="containsText" text="NO APLICA">
      <formula>NOT(ISERROR(SEARCH("NO APLICA",P2)))</formula>
    </cfRule>
    <cfRule type="containsText" dxfId="1958" priority="296" operator="containsText" text="R. MODERADO">
      <formula>NOT(ISERROR(SEARCH("R. MODERADO",P2)))</formula>
    </cfRule>
    <cfRule type="containsText" dxfId="1957" priority="297" operator="containsText" text="SANO">
      <formula>NOT(ISERROR(SEARCH("SANO",P2)))</formula>
    </cfRule>
    <cfRule type="containsText" dxfId="1956" priority="298" operator="containsText" text="R. ALTO">
      <formula>NOT(ISERROR(SEARCH("R. ALTO",P2)))</formula>
    </cfRule>
    <cfRule type="containsText" dxfId="1955" priority="299" operator="containsText" text="FALTA">
      <formula>NOT(ISERROR(SEARCH("FALTA",P2)))</formula>
    </cfRule>
  </conditionalFormatting>
  <conditionalFormatting sqref="Q2:Q1048576">
    <cfRule type="containsText" dxfId="1954" priority="290" operator="containsText" text="NO APLICA">
      <formula>NOT(ISERROR(SEARCH("NO APLICA",Q2)))</formula>
    </cfRule>
    <cfRule type="containsText" dxfId="1953" priority="291" operator="containsText" text="R. MODERADO">
      <formula>NOT(ISERROR(SEARCH("R. MODERADO",Q2)))</formula>
    </cfRule>
    <cfRule type="containsText" dxfId="1952" priority="292" operator="containsText" text="SANO">
      <formula>NOT(ISERROR(SEARCH("SANO",Q2)))</formula>
    </cfRule>
    <cfRule type="containsText" dxfId="1951" priority="293" operator="containsText" text="R. ALTO">
      <formula>NOT(ISERROR(SEARCH("R. ALTO",Q2)))</formula>
    </cfRule>
    <cfRule type="containsText" dxfId="1950" priority="294" operator="containsText" text="FALTA">
      <formula>NOT(ISERROR(SEARCH("FALTA",Q2)))</formula>
    </cfRule>
  </conditionalFormatting>
  <conditionalFormatting sqref="N105:P105">
    <cfRule type="containsText" dxfId="1949" priority="285" operator="containsText" text="NO APLICA">
      <formula>NOT(ISERROR(SEARCH("NO APLICA",N105)))</formula>
    </cfRule>
    <cfRule type="containsText" dxfId="1948" priority="286" operator="containsText" text="FALTA">
      <formula>NOT(ISERROR(SEARCH("FALTA",N105)))</formula>
    </cfRule>
    <cfRule type="containsText" dxfId="1947" priority="287" operator="containsText" text="R. ALTO">
      <formula>NOT(ISERROR(SEARCH("R. ALTO",N105)))</formula>
    </cfRule>
    <cfRule type="containsText" dxfId="1946" priority="288" operator="containsText" text="R. MODERADO">
      <formula>NOT(ISERROR(SEARCH("R. MODERADO",N105)))</formula>
    </cfRule>
    <cfRule type="containsText" dxfId="1945" priority="289" operator="containsText" text="SANO">
      <formula>NOT(ISERROR(SEARCH("SANO",N105)))</formula>
    </cfRule>
  </conditionalFormatting>
  <conditionalFormatting sqref="O111:P111">
    <cfRule type="containsText" dxfId="1944" priority="280" operator="containsText" text="NO APLICA">
      <formula>NOT(ISERROR(SEARCH("NO APLICA",O111)))</formula>
    </cfRule>
    <cfRule type="containsText" dxfId="1943" priority="281" operator="containsText" text="FALTA">
      <formula>NOT(ISERROR(SEARCH("FALTA",O111)))</formula>
    </cfRule>
    <cfRule type="containsText" dxfId="1942" priority="282" operator="containsText" text="R. ALTO">
      <formula>NOT(ISERROR(SEARCH("R. ALTO",O111)))</formula>
    </cfRule>
    <cfRule type="containsText" dxfId="1941" priority="283" operator="containsText" text="R. MODERADO">
      <formula>NOT(ISERROR(SEARCH("R. MODERADO",O111)))</formula>
    </cfRule>
    <cfRule type="containsText" dxfId="1940" priority="284" operator="containsText" text="SANO">
      <formula>NOT(ISERROR(SEARCH("SANO",O111)))</formula>
    </cfRule>
  </conditionalFormatting>
  <conditionalFormatting sqref="O118:P119">
    <cfRule type="containsText" dxfId="1939" priority="275" operator="containsText" text="NO APLICA">
      <formula>NOT(ISERROR(SEARCH("NO APLICA",O118)))</formula>
    </cfRule>
    <cfRule type="containsText" dxfId="1938" priority="276" operator="containsText" text="FALTA">
      <formula>NOT(ISERROR(SEARCH("FALTA",O118)))</formula>
    </cfRule>
    <cfRule type="containsText" dxfId="1937" priority="277" operator="containsText" text="R. ALTO">
      <formula>NOT(ISERROR(SEARCH("R. ALTO",O118)))</formula>
    </cfRule>
    <cfRule type="containsText" dxfId="1936" priority="278" operator="containsText" text="R. MODERADO">
      <formula>NOT(ISERROR(SEARCH("R. MODERADO",O118)))</formula>
    </cfRule>
    <cfRule type="containsText" dxfId="1935" priority="279" operator="containsText" text="SANO">
      <formula>NOT(ISERROR(SEARCH("SANO",O118)))</formula>
    </cfRule>
  </conditionalFormatting>
  <conditionalFormatting sqref="O121:P121">
    <cfRule type="containsText" dxfId="1934" priority="270" operator="containsText" text="NO APLICA">
      <formula>NOT(ISERROR(SEARCH("NO APLICA",O121)))</formula>
    </cfRule>
    <cfRule type="containsText" dxfId="1933" priority="271" operator="containsText" text="FALTA">
      <formula>NOT(ISERROR(SEARCH("FALTA",O121)))</formula>
    </cfRule>
    <cfRule type="containsText" dxfId="1932" priority="272" operator="containsText" text="R. ALTO">
      <formula>NOT(ISERROR(SEARCH("R. ALTO",O121)))</formula>
    </cfRule>
    <cfRule type="containsText" dxfId="1931" priority="273" operator="containsText" text="R. MODERADO">
      <formula>NOT(ISERROR(SEARCH("R. MODERADO",O121)))</formula>
    </cfRule>
    <cfRule type="containsText" dxfId="1930" priority="274" operator="containsText" text="SANO">
      <formula>NOT(ISERROR(SEARCH("SANO",O121)))</formula>
    </cfRule>
  </conditionalFormatting>
  <conditionalFormatting sqref="P127:P129">
    <cfRule type="containsText" dxfId="1929" priority="265" operator="containsText" text="NO APLICA">
      <formula>NOT(ISERROR(SEARCH("NO APLICA",P127)))</formula>
    </cfRule>
    <cfRule type="containsText" dxfId="1928" priority="266" operator="containsText" text="FALTA">
      <formula>NOT(ISERROR(SEARCH("FALTA",P127)))</formula>
    </cfRule>
    <cfRule type="containsText" dxfId="1927" priority="267" operator="containsText" text="R. ALTO">
      <formula>NOT(ISERROR(SEARCH("R. ALTO",P127)))</formula>
    </cfRule>
    <cfRule type="containsText" dxfId="1926" priority="268" operator="containsText" text="R. MODERADO">
      <formula>NOT(ISERROR(SEARCH("R. MODERADO",P127)))</formula>
    </cfRule>
    <cfRule type="containsText" dxfId="1925" priority="269" operator="containsText" text="SANO">
      <formula>NOT(ISERROR(SEARCH("SANO",P127)))</formula>
    </cfRule>
  </conditionalFormatting>
  <conditionalFormatting sqref="P131:P138">
    <cfRule type="containsText" dxfId="1924" priority="260" operator="containsText" text="NO APLICA">
      <formula>NOT(ISERROR(SEARCH("NO APLICA",P131)))</formula>
    </cfRule>
    <cfRule type="containsText" dxfId="1923" priority="261" operator="containsText" text="FALTA">
      <formula>NOT(ISERROR(SEARCH("FALTA",P131)))</formula>
    </cfRule>
    <cfRule type="containsText" dxfId="1922" priority="262" operator="containsText" text="R. ALTO">
      <formula>NOT(ISERROR(SEARCH("R. ALTO",P131)))</formula>
    </cfRule>
    <cfRule type="containsText" dxfId="1921" priority="263" operator="containsText" text="R. MODERADO">
      <formula>NOT(ISERROR(SEARCH("R. MODERADO",P131)))</formula>
    </cfRule>
    <cfRule type="containsText" dxfId="1920" priority="264" operator="containsText" text="SANO">
      <formula>NOT(ISERROR(SEARCH("SANO",P131)))</formula>
    </cfRule>
  </conditionalFormatting>
  <conditionalFormatting sqref="H88:M88">
    <cfRule type="containsText" dxfId="1919" priority="255" operator="containsText" text="NO APLICA">
      <formula>NOT(ISERROR(SEARCH("NO APLICA",H88)))</formula>
    </cfRule>
    <cfRule type="containsText" dxfId="1918" priority="256" operator="containsText" text="FALTA">
      <formula>NOT(ISERROR(SEARCH("FALTA",H88)))</formula>
    </cfRule>
    <cfRule type="containsText" dxfId="1917" priority="257" operator="containsText" text="R. ALTO">
      <formula>NOT(ISERROR(SEARCH("R. ALTO",H88)))</formula>
    </cfRule>
    <cfRule type="containsText" dxfId="1916" priority="258" operator="containsText" text="R. MODERADO">
      <formula>NOT(ISERROR(SEARCH("R. MODERADO",H88)))</formula>
    </cfRule>
    <cfRule type="containsText" dxfId="1915" priority="259" operator="containsText" text="SANO">
      <formula>NOT(ISERROR(SEARCH("SANO",H88)))</formula>
    </cfRule>
  </conditionalFormatting>
  <conditionalFormatting sqref="N88">
    <cfRule type="containsText" dxfId="1914" priority="250" operator="containsText" text="NO APLICA">
      <formula>NOT(ISERROR(SEARCH("NO APLICA",N88)))</formula>
    </cfRule>
    <cfRule type="containsText" dxfId="1913" priority="251" operator="containsText" text="FALTA">
      <formula>NOT(ISERROR(SEARCH("FALTA",N88)))</formula>
    </cfRule>
    <cfRule type="containsText" dxfId="1912" priority="252" operator="containsText" text="R. ALTO">
      <formula>NOT(ISERROR(SEARCH("R. ALTO",N88)))</formula>
    </cfRule>
    <cfRule type="containsText" dxfId="1911" priority="253" operator="containsText" text="R. MODERADO">
      <formula>NOT(ISERROR(SEARCH("R. MODERADO",N88)))</formula>
    </cfRule>
    <cfRule type="containsText" dxfId="1910" priority="254" operator="containsText" text="SANO">
      <formula>NOT(ISERROR(SEARCH("SANO",N88)))</formula>
    </cfRule>
  </conditionalFormatting>
  <conditionalFormatting sqref="O88:P88">
    <cfRule type="containsText" dxfId="1909" priority="245" operator="containsText" text="NO APLICA">
      <formula>NOT(ISERROR(SEARCH("NO APLICA",O88)))</formula>
    </cfRule>
    <cfRule type="containsText" dxfId="1908" priority="246" operator="containsText" text="FALTA">
      <formula>NOT(ISERROR(SEARCH("FALTA",O88)))</formula>
    </cfRule>
    <cfRule type="containsText" dxfId="1907" priority="247" operator="containsText" text="R. ALTO">
      <formula>NOT(ISERROR(SEARCH("R. ALTO",O88)))</formula>
    </cfRule>
    <cfRule type="containsText" dxfId="1906" priority="248" operator="containsText" text="R. MODERADO">
      <formula>NOT(ISERROR(SEARCH("R. MODERADO",O88)))</formula>
    </cfRule>
    <cfRule type="containsText" dxfId="1905" priority="249" operator="containsText" text="SANO">
      <formula>NOT(ISERROR(SEARCH("SANO",O88)))</formula>
    </cfRule>
  </conditionalFormatting>
  <conditionalFormatting sqref="H99:M99">
    <cfRule type="containsText" dxfId="1904" priority="240" operator="containsText" text="NO APLICA">
      <formula>NOT(ISERROR(SEARCH("NO APLICA",H99)))</formula>
    </cfRule>
    <cfRule type="containsText" dxfId="1903" priority="241" operator="containsText" text="FALTA">
      <formula>NOT(ISERROR(SEARCH("FALTA",H99)))</formula>
    </cfRule>
    <cfRule type="containsText" dxfId="1902" priority="242" operator="containsText" text="R. ALTO">
      <formula>NOT(ISERROR(SEARCH("R. ALTO",H99)))</formula>
    </cfRule>
    <cfRule type="containsText" dxfId="1901" priority="243" operator="containsText" text="R. MODERADO">
      <formula>NOT(ISERROR(SEARCH("R. MODERADO",H99)))</formula>
    </cfRule>
    <cfRule type="containsText" dxfId="1900" priority="244" operator="containsText" text="SANO">
      <formula>NOT(ISERROR(SEARCH("SANO",H99)))</formula>
    </cfRule>
  </conditionalFormatting>
  <conditionalFormatting sqref="N99">
    <cfRule type="containsText" dxfId="1899" priority="235" operator="containsText" text="NO APLICA">
      <formula>NOT(ISERROR(SEARCH("NO APLICA",N99)))</formula>
    </cfRule>
    <cfRule type="containsText" dxfId="1898" priority="236" operator="containsText" text="FALTA">
      <formula>NOT(ISERROR(SEARCH("FALTA",N99)))</formula>
    </cfRule>
    <cfRule type="containsText" dxfId="1897" priority="237" operator="containsText" text="R. ALTO">
      <formula>NOT(ISERROR(SEARCH("R. ALTO",N99)))</formula>
    </cfRule>
    <cfRule type="containsText" dxfId="1896" priority="238" operator="containsText" text="R. MODERADO">
      <formula>NOT(ISERROR(SEARCH("R. MODERADO",N99)))</formula>
    </cfRule>
    <cfRule type="containsText" dxfId="1895" priority="239" operator="containsText" text="SANO">
      <formula>NOT(ISERROR(SEARCH("SANO",N99)))</formula>
    </cfRule>
  </conditionalFormatting>
  <conditionalFormatting sqref="O99:P99">
    <cfRule type="containsText" dxfId="1894" priority="230" operator="containsText" text="NO APLICA">
      <formula>NOT(ISERROR(SEARCH("NO APLICA",O99)))</formula>
    </cfRule>
    <cfRule type="containsText" dxfId="1893" priority="231" operator="containsText" text="FALTA">
      <formula>NOT(ISERROR(SEARCH("FALTA",O99)))</formula>
    </cfRule>
    <cfRule type="containsText" dxfId="1892" priority="232" operator="containsText" text="R. ALTO">
      <formula>NOT(ISERROR(SEARCH("R. ALTO",O99)))</formula>
    </cfRule>
    <cfRule type="containsText" dxfId="1891" priority="233" operator="containsText" text="R. MODERADO">
      <formula>NOT(ISERROR(SEARCH("R. MODERADO",O99)))</formula>
    </cfRule>
    <cfRule type="containsText" dxfId="1890" priority="234" operator="containsText" text="SANO">
      <formula>NOT(ISERROR(SEARCH("SANO",O99)))</formula>
    </cfRule>
  </conditionalFormatting>
  <conditionalFormatting sqref="H101:M101">
    <cfRule type="containsText" dxfId="1889" priority="225" operator="containsText" text="NO APLICA">
      <formula>NOT(ISERROR(SEARCH("NO APLICA",H101)))</formula>
    </cfRule>
    <cfRule type="containsText" dxfId="1888" priority="226" operator="containsText" text="FALTA">
      <formula>NOT(ISERROR(SEARCH("FALTA",H101)))</formula>
    </cfRule>
    <cfRule type="containsText" dxfId="1887" priority="227" operator="containsText" text="R. ALTO">
      <formula>NOT(ISERROR(SEARCH("R. ALTO",H101)))</formula>
    </cfRule>
    <cfRule type="containsText" dxfId="1886" priority="228" operator="containsText" text="R. MODERADO">
      <formula>NOT(ISERROR(SEARCH("R. MODERADO",H101)))</formula>
    </cfRule>
    <cfRule type="containsText" dxfId="1885" priority="229" operator="containsText" text="SANO">
      <formula>NOT(ISERROR(SEARCH("SANO",H101)))</formula>
    </cfRule>
  </conditionalFormatting>
  <conditionalFormatting sqref="N101">
    <cfRule type="containsText" dxfId="1884" priority="220" operator="containsText" text="NO APLICA">
      <formula>NOT(ISERROR(SEARCH("NO APLICA",N101)))</formula>
    </cfRule>
    <cfRule type="containsText" dxfId="1883" priority="221" operator="containsText" text="FALTA">
      <formula>NOT(ISERROR(SEARCH("FALTA",N101)))</formula>
    </cfRule>
    <cfRule type="containsText" dxfId="1882" priority="222" operator="containsText" text="R. ALTO">
      <formula>NOT(ISERROR(SEARCH("R. ALTO",N101)))</formula>
    </cfRule>
    <cfRule type="containsText" dxfId="1881" priority="223" operator="containsText" text="R. MODERADO">
      <formula>NOT(ISERROR(SEARCH("R. MODERADO",N101)))</formula>
    </cfRule>
    <cfRule type="containsText" dxfId="1880" priority="224" operator="containsText" text="SANO">
      <formula>NOT(ISERROR(SEARCH("SANO",N101)))</formula>
    </cfRule>
  </conditionalFormatting>
  <conditionalFormatting sqref="O101:P101">
    <cfRule type="containsText" dxfId="1879" priority="215" operator="containsText" text="NO APLICA">
      <formula>NOT(ISERROR(SEARCH("NO APLICA",O101)))</formula>
    </cfRule>
    <cfRule type="containsText" dxfId="1878" priority="216" operator="containsText" text="FALTA">
      <formula>NOT(ISERROR(SEARCH("FALTA",O101)))</formula>
    </cfRule>
    <cfRule type="containsText" dxfId="1877" priority="217" operator="containsText" text="R. ALTO">
      <formula>NOT(ISERROR(SEARCH("R. ALTO",O101)))</formula>
    </cfRule>
    <cfRule type="containsText" dxfId="1876" priority="218" operator="containsText" text="R. MODERADO">
      <formula>NOT(ISERROR(SEARCH("R. MODERADO",O101)))</formula>
    </cfRule>
    <cfRule type="containsText" dxfId="1875" priority="219" operator="containsText" text="SANO">
      <formula>NOT(ISERROR(SEARCH("SANO",O101)))</formula>
    </cfRule>
  </conditionalFormatting>
  <conditionalFormatting sqref="G88">
    <cfRule type="containsText" dxfId="1874" priority="214" operator="containsText" text="R. MODERADO">
      <formula>NOT(ISERROR(SEARCH("R. MODERADO",G88)))</formula>
    </cfRule>
  </conditionalFormatting>
  <conditionalFormatting sqref="G88">
    <cfRule type="containsText" dxfId="1873" priority="211" operator="containsText" text="FALTA">
      <formula>NOT(ISERROR(SEARCH("FALTA",G88)))</formula>
    </cfRule>
    <cfRule type="containsText" dxfId="1872" priority="212" operator="containsText" text="R. ALTO">
      <formula>NOT(ISERROR(SEARCH("R. ALTO",G88)))</formula>
    </cfRule>
    <cfRule type="containsText" dxfId="1871" priority="213" operator="containsText" text="SANO">
      <formula>NOT(ISERROR(SEARCH("SANO",G88)))</formula>
    </cfRule>
  </conditionalFormatting>
  <conditionalFormatting sqref="G99">
    <cfRule type="containsText" dxfId="1870" priority="210" operator="containsText" text="R. MODERADO">
      <formula>NOT(ISERROR(SEARCH("R. MODERADO",G99)))</formula>
    </cfRule>
  </conditionalFormatting>
  <conditionalFormatting sqref="G99">
    <cfRule type="containsText" dxfId="1869" priority="207" operator="containsText" text="FALTA">
      <formula>NOT(ISERROR(SEARCH("FALTA",G99)))</formula>
    </cfRule>
    <cfRule type="containsText" dxfId="1868" priority="208" operator="containsText" text="R. ALTO">
      <formula>NOT(ISERROR(SEARCH("R. ALTO",G99)))</formula>
    </cfRule>
    <cfRule type="containsText" dxfId="1867" priority="209" operator="containsText" text="SANO">
      <formula>NOT(ISERROR(SEARCH("SANO",G99)))</formula>
    </cfRule>
  </conditionalFormatting>
  <conditionalFormatting sqref="G101">
    <cfRule type="containsText" dxfId="1866" priority="206" operator="containsText" text="R. MODERADO">
      <formula>NOT(ISERROR(SEARCH("R. MODERADO",G101)))</formula>
    </cfRule>
  </conditionalFormatting>
  <conditionalFormatting sqref="G101">
    <cfRule type="containsText" dxfId="1865" priority="203" operator="containsText" text="FALTA">
      <formula>NOT(ISERROR(SEARCH("FALTA",G101)))</formula>
    </cfRule>
    <cfRule type="containsText" dxfId="1864" priority="204" operator="containsText" text="R. ALTO">
      <formula>NOT(ISERROR(SEARCH("R. ALTO",G101)))</formula>
    </cfRule>
    <cfRule type="containsText" dxfId="1863" priority="205" operator="containsText" text="SANO">
      <formula>NOT(ISERROR(SEARCH("SANO",G101)))</formula>
    </cfRule>
  </conditionalFormatting>
  <conditionalFormatting sqref="G105">
    <cfRule type="containsText" dxfId="1862" priority="202" operator="containsText" text="R. MODERADO">
      <formula>NOT(ISERROR(SEARCH("R. MODERADO",G105)))</formula>
    </cfRule>
  </conditionalFormatting>
  <conditionalFormatting sqref="G105">
    <cfRule type="containsText" dxfId="1861" priority="199" operator="containsText" text="FALTA">
      <formula>NOT(ISERROR(SEARCH("FALTA",G105)))</formula>
    </cfRule>
    <cfRule type="containsText" dxfId="1860" priority="200" operator="containsText" text="R. ALTO">
      <formula>NOT(ISERROR(SEARCH("R. ALTO",G105)))</formula>
    </cfRule>
    <cfRule type="containsText" dxfId="1859" priority="201" operator="containsText" text="SANO">
      <formula>NOT(ISERROR(SEARCH("SANO",G105)))</formula>
    </cfRule>
  </conditionalFormatting>
  <conditionalFormatting sqref="G111">
    <cfRule type="containsText" dxfId="1858" priority="198" operator="containsText" text="R. MODERADO">
      <formula>NOT(ISERROR(SEARCH("R. MODERADO",G111)))</formula>
    </cfRule>
  </conditionalFormatting>
  <conditionalFormatting sqref="G111">
    <cfRule type="containsText" dxfId="1857" priority="195" operator="containsText" text="FALTA">
      <formula>NOT(ISERROR(SEARCH("FALTA",G111)))</formula>
    </cfRule>
    <cfRule type="containsText" dxfId="1856" priority="196" operator="containsText" text="R. ALTO">
      <formula>NOT(ISERROR(SEARCH("R. ALTO",G111)))</formula>
    </cfRule>
    <cfRule type="containsText" dxfId="1855" priority="197" operator="containsText" text="SANO">
      <formula>NOT(ISERROR(SEARCH("SANO",G111)))</formula>
    </cfRule>
  </conditionalFormatting>
  <conditionalFormatting sqref="G118:G119">
    <cfRule type="containsText" dxfId="1854" priority="194" operator="containsText" text="R. MODERADO">
      <formula>NOT(ISERROR(SEARCH("R. MODERADO",G118)))</formula>
    </cfRule>
  </conditionalFormatting>
  <conditionalFormatting sqref="G118:G119">
    <cfRule type="containsText" dxfId="1853" priority="191" operator="containsText" text="FALTA">
      <formula>NOT(ISERROR(SEARCH("FALTA",G118)))</formula>
    </cfRule>
    <cfRule type="containsText" dxfId="1852" priority="192" operator="containsText" text="R. ALTO">
      <formula>NOT(ISERROR(SEARCH("R. ALTO",G118)))</formula>
    </cfRule>
    <cfRule type="containsText" dxfId="1851" priority="193" operator="containsText" text="SANO">
      <formula>NOT(ISERROR(SEARCH("SANO",G118)))</formula>
    </cfRule>
  </conditionalFormatting>
  <conditionalFormatting sqref="G121">
    <cfRule type="containsText" dxfId="1850" priority="190" operator="containsText" text="R. MODERADO">
      <formula>NOT(ISERROR(SEARCH("R. MODERADO",G121)))</formula>
    </cfRule>
  </conditionalFormatting>
  <conditionalFormatting sqref="G121">
    <cfRule type="containsText" dxfId="1849" priority="187" operator="containsText" text="FALTA">
      <formula>NOT(ISERROR(SEARCH("FALTA",G121)))</formula>
    </cfRule>
    <cfRule type="containsText" dxfId="1848" priority="188" operator="containsText" text="R. ALTO">
      <formula>NOT(ISERROR(SEARCH("R. ALTO",G121)))</formula>
    </cfRule>
    <cfRule type="containsText" dxfId="1847" priority="189" operator="containsText" text="SANO">
      <formula>NOT(ISERROR(SEARCH("SANO",G121)))</formula>
    </cfRule>
  </conditionalFormatting>
  <conditionalFormatting sqref="G127:G129">
    <cfRule type="containsText" dxfId="1846" priority="186" operator="containsText" text="R. MODERADO">
      <formula>NOT(ISERROR(SEARCH("R. MODERADO",G127)))</formula>
    </cfRule>
  </conditionalFormatting>
  <conditionalFormatting sqref="G127:G129">
    <cfRule type="containsText" dxfId="1845" priority="183" operator="containsText" text="FALTA">
      <formula>NOT(ISERROR(SEARCH("FALTA",G127)))</formula>
    </cfRule>
    <cfRule type="containsText" dxfId="1844" priority="184" operator="containsText" text="R. ALTO">
      <formula>NOT(ISERROR(SEARCH("R. ALTO",G127)))</formula>
    </cfRule>
    <cfRule type="containsText" dxfId="1843" priority="185" operator="containsText" text="SANO">
      <formula>NOT(ISERROR(SEARCH("SANO",G127)))</formula>
    </cfRule>
  </conditionalFormatting>
  <conditionalFormatting sqref="G131:G133 G135:G138">
    <cfRule type="containsText" dxfId="1842" priority="182" operator="containsText" text="R. MODERADO">
      <formula>NOT(ISERROR(SEARCH("R. MODERADO",G131)))</formula>
    </cfRule>
  </conditionalFormatting>
  <conditionalFormatting sqref="G135:G138 G131:G133">
    <cfRule type="containsText" dxfId="1841" priority="179" operator="containsText" text="FALTA">
      <formula>NOT(ISERROR(SEARCH("FALTA",G131)))</formula>
    </cfRule>
    <cfRule type="containsText" dxfId="1840" priority="180" operator="containsText" text="R. ALTO">
      <formula>NOT(ISERROR(SEARCH("R. ALTO",G131)))</formula>
    </cfRule>
    <cfRule type="containsText" dxfId="1839" priority="181" operator="containsText" text="SANO">
      <formula>NOT(ISERROR(SEARCH("SANO",G131)))</formula>
    </cfRule>
  </conditionalFormatting>
  <conditionalFormatting sqref="G134">
    <cfRule type="containsText" dxfId="1838" priority="178" operator="containsText" text="R. MODERADO">
      <formula>NOT(ISERROR(SEARCH("R. MODERADO",G134)))</formula>
    </cfRule>
  </conditionalFormatting>
  <conditionalFormatting sqref="G134">
    <cfRule type="containsText" dxfId="1837" priority="175" operator="containsText" text="FALTA">
      <formula>NOT(ISERROR(SEARCH("FALTA",G134)))</formula>
    </cfRule>
    <cfRule type="containsText" dxfId="1836" priority="176" operator="containsText" text="R. ALTO">
      <formula>NOT(ISERROR(SEARCH("R. ALTO",G134)))</formula>
    </cfRule>
    <cfRule type="containsText" dxfId="1835" priority="177" operator="containsText" text="SANO">
      <formula>NOT(ISERROR(SEARCH("SANO",G134)))</formula>
    </cfRule>
  </conditionalFormatting>
  <conditionalFormatting sqref="R2:R142">
    <cfRule type="containsText" dxfId="1834" priority="1" operator="containsText" text="NO APLICA">
      <formula>NOT(ISERROR(SEARCH("NO APLICA",R2)))</formula>
    </cfRule>
    <cfRule type="containsText" dxfId="1833" priority="2" operator="containsText" text="R. MODERADO">
      <formula>NOT(ISERROR(SEARCH("R. MODERADO",R2)))</formula>
    </cfRule>
    <cfRule type="containsText" dxfId="1832" priority="3" operator="containsText" text="SANO">
      <formula>NOT(ISERROR(SEARCH("SANO",R2)))</formula>
    </cfRule>
    <cfRule type="containsText" dxfId="1831" priority="4" operator="containsText" text="R. ALTO">
      <formula>NOT(ISERROR(SEARCH("R. ALTO",R2)))</formula>
    </cfRule>
    <cfRule type="containsText" dxfId="1830" priority="5" operator="containsText" text="FALTA">
      <formula>NOT(ISERROR(SEARCH("FALTA",R2)))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Hoja1!$G$2:$G$5</xm:f>
          </x14:formula1>
          <xm:sqref>P103:P104 Q81:R94 P108:R109 P126 Q104:R105 P89:P94 P3:R79 Q126:R129 P96 P81:P87 P113:R115</xm:sqref>
        </x14:dataValidation>
        <x14:dataValidation type="list" allowBlank="1" showInputMessage="1" showErrorMessage="1" xr:uid="{00000000-0002-0000-0200-000001000000}">
          <x14:formula1>
            <xm:f>Hoja1!$G$2:$G$6</xm:f>
          </x14:formula1>
          <xm:sqref>H3:R142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5"/>
  <sheetViews>
    <sheetView topLeftCell="A118" zoomScale="115" zoomScaleNormal="115" workbookViewId="0">
      <selection activeCell="B16" sqref="B15:B16"/>
    </sheetView>
  </sheetViews>
  <sheetFormatPr baseColWidth="10" defaultRowHeight="15" x14ac:dyDescent="0.25"/>
  <cols>
    <col min="1" max="1" width="11.42578125" style="25"/>
    <col min="2" max="2" width="45.7109375" customWidth="1"/>
    <col min="3" max="3" width="24.28515625" style="51" customWidth="1"/>
    <col min="4" max="4" width="17.7109375" style="50" customWidth="1"/>
    <col min="5" max="5" width="35.7109375" style="25" hidden="1" customWidth="1"/>
    <col min="6" max="6" width="20.7109375" style="25" customWidth="1"/>
    <col min="7" max="7" width="35.7109375" style="25" customWidth="1"/>
    <col min="8" max="8" width="20.7109375" style="25" customWidth="1"/>
    <col min="9" max="9" width="35.7109375" style="25" customWidth="1"/>
    <col min="10" max="10" width="20.7109375" style="25" customWidth="1"/>
    <col min="11" max="11" width="37.7109375" style="25" customWidth="1"/>
    <col min="12" max="12" width="20.7109375" style="25" customWidth="1"/>
    <col min="13" max="13" width="35.7109375" style="25" customWidth="1"/>
    <col min="14" max="14" width="20.7109375" style="25" customWidth="1"/>
    <col min="15" max="15" width="35.7109375" style="25" customWidth="1"/>
    <col min="16" max="16" width="20.7109375" style="25" customWidth="1"/>
    <col min="17" max="17" width="35.7109375" style="25" customWidth="1"/>
    <col min="18" max="18" width="20.7109375" style="25" customWidth="1"/>
    <col min="19" max="19" width="35.7109375" style="25" customWidth="1"/>
    <col min="20" max="20" width="20.7109375" style="25" customWidth="1"/>
    <col min="21" max="21" width="35.7109375" style="25" customWidth="1"/>
    <col min="22" max="22" width="20.7109375" style="25" customWidth="1"/>
    <col min="23" max="23" width="35.7109375" style="25" customWidth="1"/>
    <col min="24" max="24" width="20.7109375" style="25" customWidth="1"/>
    <col min="25" max="25" width="35.7109375" style="25" customWidth="1"/>
    <col min="26" max="26" width="20.7109375" style="25" customWidth="1"/>
    <col min="27" max="27" width="35.7109375" style="25" customWidth="1"/>
    <col min="28" max="28" width="20.7109375" style="25" customWidth="1"/>
    <col min="29" max="36" width="11.42578125" style="25"/>
  </cols>
  <sheetData>
    <row r="1" spans="1:29" ht="15" customHeight="1" x14ac:dyDescent="0.25">
      <c r="A1" s="171" t="s">
        <v>383</v>
      </c>
      <c r="B1" s="172"/>
      <c r="C1" s="175" t="s">
        <v>437</v>
      </c>
      <c r="D1" s="178" t="s">
        <v>342</v>
      </c>
      <c r="E1" s="181" t="s">
        <v>330</v>
      </c>
      <c r="F1" s="159" t="s">
        <v>341</v>
      </c>
      <c r="G1" s="161" t="s">
        <v>299</v>
      </c>
      <c r="H1" s="164" t="s">
        <v>340</v>
      </c>
      <c r="I1" s="168" t="s">
        <v>330</v>
      </c>
      <c r="J1" s="159" t="s">
        <v>339</v>
      </c>
      <c r="K1" s="161" t="s">
        <v>330</v>
      </c>
      <c r="L1" s="164" t="s">
        <v>338</v>
      </c>
      <c r="M1" s="168" t="s">
        <v>330</v>
      </c>
      <c r="N1" s="159" t="s">
        <v>337</v>
      </c>
      <c r="O1" s="161" t="s">
        <v>330</v>
      </c>
      <c r="P1" s="164" t="s">
        <v>336</v>
      </c>
      <c r="Q1" s="168" t="s">
        <v>330</v>
      </c>
      <c r="R1" s="159" t="s">
        <v>335</v>
      </c>
      <c r="S1" s="161" t="s">
        <v>330</v>
      </c>
      <c r="T1" s="164" t="s">
        <v>334</v>
      </c>
      <c r="U1" s="168" t="s">
        <v>330</v>
      </c>
      <c r="V1" s="159" t="s">
        <v>333</v>
      </c>
      <c r="W1" s="161" t="s">
        <v>330</v>
      </c>
      <c r="X1" s="164" t="s">
        <v>332</v>
      </c>
      <c r="Y1" s="168" t="s">
        <v>330</v>
      </c>
      <c r="Z1" s="159" t="s">
        <v>331</v>
      </c>
      <c r="AA1" s="161" t="s">
        <v>330</v>
      </c>
      <c r="AB1" s="164" t="s">
        <v>329</v>
      </c>
      <c r="AC1" s="52"/>
    </row>
    <row r="2" spans="1:29" ht="15.75" customHeight="1" thickBot="1" x14ac:dyDescent="0.3">
      <c r="A2" s="173"/>
      <c r="B2" s="174"/>
      <c r="C2" s="176"/>
      <c r="D2" s="179"/>
      <c r="E2" s="182"/>
      <c r="F2" s="160"/>
      <c r="G2" s="162"/>
      <c r="H2" s="165"/>
      <c r="I2" s="169"/>
      <c r="J2" s="160"/>
      <c r="K2" s="162"/>
      <c r="L2" s="165"/>
      <c r="M2" s="169"/>
      <c r="N2" s="160"/>
      <c r="O2" s="162"/>
      <c r="P2" s="165"/>
      <c r="Q2" s="169"/>
      <c r="R2" s="160"/>
      <c r="S2" s="162"/>
      <c r="T2" s="165"/>
      <c r="U2" s="169"/>
      <c r="V2" s="160"/>
      <c r="W2" s="162"/>
      <c r="X2" s="165"/>
      <c r="Y2" s="169"/>
      <c r="Z2" s="160"/>
      <c r="AA2" s="162"/>
      <c r="AB2" s="165"/>
      <c r="AC2" s="52"/>
    </row>
    <row r="3" spans="1:29" ht="16.5" thickBot="1" x14ac:dyDescent="0.3">
      <c r="A3" s="166" t="s">
        <v>328</v>
      </c>
      <c r="B3" s="167"/>
      <c r="C3" s="177"/>
      <c r="D3" s="180"/>
      <c r="E3" s="183"/>
      <c r="F3" s="59" t="s">
        <v>327</v>
      </c>
      <c r="G3" s="163"/>
      <c r="H3" s="62" t="s">
        <v>326</v>
      </c>
      <c r="I3" s="170"/>
      <c r="J3" s="59" t="s">
        <v>325</v>
      </c>
      <c r="K3" s="163"/>
      <c r="L3" s="62" t="s">
        <v>324</v>
      </c>
      <c r="M3" s="170"/>
      <c r="N3" s="59" t="s">
        <v>323</v>
      </c>
      <c r="O3" s="163"/>
      <c r="P3" s="62" t="s">
        <v>322</v>
      </c>
      <c r="Q3" s="170"/>
      <c r="R3" s="59" t="s">
        <v>321</v>
      </c>
      <c r="S3" s="163"/>
      <c r="T3" s="62" t="s">
        <v>320</v>
      </c>
      <c r="U3" s="170"/>
      <c r="V3" s="63" t="s">
        <v>319</v>
      </c>
      <c r="W3" s="163"/>
      <c r="X3" s="62" t="s">
        <v>318</v>
      </c>
      <c r="Y3" s="170"/>
      <c r="Z3" s="64" t="s">
        <v>358</v>
      </c>
      <c r="AA3" s="163"/>
      <c r="AB3" s="65" t="s">
        <v>317</v>
      </c>
      <c r="AC3" s="52"/>
    </row>
    <row r="4" spans="1:29" x14ac:dyDescent="0.25">
      <c r="A4" s="111" t="s">
        <v>40</v>
      </c>
      <c r="B4" s="108" t="s">
        <v>38</v>
      </c>
      <c r="C4" s="103" t="s">
        <v>272</v>
      </c>
      <c r="D4" s="54"/>
      <c r="E4" s="52" t="s">
        <v>300</v>
      </c>
      <c r="F4" s="103" t="s">
        <v>249</v>
      </c>
      <c r="G4" s="52"/>
      <c r="H4" s="58"/>
      <c r="I4" s="52"/>
      <c r="J4" s="58"/>
      <c r="K4" s="52"/>
      <c r="L4" s="19"/>
      <c r="M4" s="52"/>
      <c r="N4" s="19"/>
      <c r="O4" s="52"/>
      <c r="P4" s="19"/>
      <c r="Q4" s="52"/>
      <c r="R4" s="19"/>
      <c r="S4" s="52"/>
      <c r="T4" s="19"/>
      <c r="U4" s="56"/>
      <c r="V4" s="19"/>
      <c r="W4" s="84"/>
      <c r="X4" s="58"/>
      <c r="Y4" s="52"/>
      <c r="Z4" s="58"/>
      <c r="AA4" s="52"/>
      <c r="AB4" s="58"/>
      <c r="AC4" s="52"/>
    </row>
    <row r="5" spans="1:29" x14ac:dyDescent="0.25">
      <c r="A5" s="111" t="s">
        <v>41</v>
      </c>
      <c r="B5" s="109" t="s">
        <v>39</v>
      </c>
      <c r="C5" s="103" t="s">
        <v>244</v>
      </c>
      <c r="D5" s="54"/>
      <c r="E5" s="52" t="s">
        <v>300</v>
      </c>
      <c r="F5" s="103" t="s">
        <v>454</v>
      </c>
      <c r="G5" s="52" t="s">
        <v>458</v>
      </c>
      <c r="H5" s="52"/>
      <c r="I5" s="52"/>
      <c r="J5" s="52"/>
      <c r="K5" s="52"/>
      <c r="L5" s="19"/>
      <c r="M5" s="52"/>
      <c r="N5" s="19"/>
      <c r="O5" s="52"/>
      <c r="P5" s="19"/>
      <c r="Q5" s="52"/>
      <c r="R5" s="19"/>
      <c r="S5" s="52"/>
      <c r="T5" s="19"/>
      <c r="U5" s="56"/>
      <c r="V5" s="19"/>
      <c r="W5" s="56"/>
      <c r="X5" s="52"/>
      <c r="Y5" s="52"/>
      <c r="Z5" s="52"/>
      <c r="AA5" s="52"/>
      <c r="AB5" s="52"/>
      <c r="AC5" s="52"/>
    </row>
    <row r="6" spans="1:29" x14ac:dyDescent="0.25">
      <c r="A6" s="111" t="s">
        <v>42</v>
      </c>
      <c r="B6" s="109" t="s">
        <v>91</v>
      </c>
      <c r="C6" s="103" t="s">
        <v>272</v>
      </c>
      <c r="D6" s="54" t="s">
        <v>315</v>
      </c>
      <c r="E6" s="52" t="s">
        <v>300</v>
      </c>
      <c r="F6" s="103" t="s">
        <v>244</v>
      </c>
      <c r="G6" s="52" t="s">
        <v>459</v>
      </c>
      <c r="H6" s="52"/>
      <c r="I6" s="52"/>
      <c r="J6" s="52"/>
      <c r="K6" s="52"/>
      <c r="L6" s="19"/>
      <c r="M6" s="52"/>
      <c r="N6" s="19"/>
      <c r="O6" s="52"/>
      <c r="P6" s="19"/>
      <c r="Q6" s="52"/>
      <c r="R6" s="19"/>
      <c r="S6" s="52"/>
      <c r="T6" s="19"/>
      <c r="U6" s="85"/>
      <c r="V6" s="19"/>
      <c r="W6" s="56"/>
      <c r="X6" s="52"/>
      <c r="Y6" s="52"/>
      <c r="Z6" s="52"/>
      <c r="AA6" s="52"/>
      <c r="AB6" s="52"/>
      <c r="AC6" s="52"/>
    </row>
    <row r="7" spans="1:29" x14ac:dyDescent="0.25">
      <c r="A7" s="111" t="s">
        <v>43</v>
      </c>
      <c r="B7" s="109" t="s">
        <v>92</v>
      </c>
      <c r="C7" s="103" t="s">
        <v>273</v>
      </c>
      <c r="D7" s="53" t="s">
        <v>308</v>
      </c>
      <c r="E7" s="52" t="s">
        <v>300</v>
      </c>
      <c r="F7" s="103" t="s">
        <v>249</v>
      </c>
      <c r="G7" s="52"/>
      <c r="H7" s="52"/>
      <c r="I7" s="52"/>
      <c r="J7" s="52"/>
      <c r="K7" s="52"/>
      <c r="L7" s="19"/>
      <c r="M7" s="52"/>
      <c r="N7" s="19"/>
      <c r="O7" s="52"/>
      <c r="P7" s="19"/>
      <c r="Q7" s="52"/>
      <c r="R7" s="19"/>
      <c r="S7" s="52"/>
      <c r="T7" s="19"/>
      <c r="U7" s="56"/>
      <c r="V7" s="19"/>
      <c r="W7" s="56"/>
      <c r="X7" s="52"/>
      <c r="Y7" s="52"/>
      <c r="Z7" s="52"/>
      <c r="AA7" s="52"/>
      <c r="AB7" s="52"/>
      <c r="AC7" s="52"/>
    </row>
    <row r="8" spans="1:29" x14ac:dyDescent="0.25">
      <c r="A8" s="111" t="s">
        <v>44</v>
      </c>
      <c r="B8" s="109" t="s">
        <v>93</v>
      </c>
      <c r="C8" s="103" t="s">
        <v>244</v>
      </c>
      <c r="D8" s="54"/>
      <c r="E8" s="52" t="s">
        <v>300</v>
      </c>
      <c r="F8" s="103" t="s">
        <v>249</v>
      </c>
      <c r="G8" s="52"/>
      <c r="H8" s="52"/>
      <c r="I8" s="52"/>
      <c r="J8" s="52"/>
      <c r="K8" s="52"/>
      <c r="L8" s="19"/>
      <c r="M8" s="52"/>
      <c r="N8" s="19"/>
      <c r="O8" s="52"/>
      <c r="P8" s="19"/>
      <c r="Q8" s="52"/>
      <c r="R8" s="19"/>
      <c r="S8" s="52"/>
      <c r="T8" s="19"/>
      <c r="U8" s="56"/>
      <c r="V8" s="19"/>
      <c r="W8" s="56"/>
      <c r="X8" s="52"/>
      <c r="Y8" s="52"/>
      <c r="Z8" s="52"/>
      <c r="AA8" s="52"/>
      <c r="AB8" s="52"/>
      <c r="AC8" s="52"/>
    </row>
    <row r="9" spans="1:29" x14ac:dyDescent="0.25">
      <c r="A9" s="111" t="s">
        <v>45</v>
      </c>
      <c r="B9" s="109" t="s">
        <v>94</v>
      </c>
      <c r="C9" s="103" t="s">
        <v>244</v>
      </c>
      <c r="D9" s="54"/>
      <c r="E9" s="52" t="s">
        <v>300</v>
      </c>
      <c r="F9" s="103" t="s">
        <v>454</v>
      </c>
      <c r="G9" s="52" t="s">
        <v>458</v>
      </c>
      <c r="H9" s="52"/>
      <c r="I9" s="52"/>
      <c r="J9" s="52"/>
      <c r="K9" s="52"/>
      <c r="L9" s="19"/>
      <c r="M9" s="52"/>
      <c r="N9" s="19"/>
      <c r="O9" s="52"/>
      <c r="P9" s="19"/>
      <c r="Q9" s="52"/>
      <c r="R9" s="19"/>
      <c r="S9" s="52"/>
      <c r="T9" s="19"/>
      <c r="U9" s="84"/>
      <c r="V9" s="19"/>
      <c r="W9" s="84"/>
      <c r="X9" s="52"/>
      <c r="Y9" s="52"/>
      <c r="Z9" s="52"/>
      <c r="AA9" s="52"/>
      <c r="AB9" s="52"/>
      <c r="AC9" s="52"/>
    </row>
    <row r="10" spans="1:29" x14ac:dyDescent="0.25">
      <c r="A10" s="111" t="s">
        <v>46</v>
      </c>
      <c r="B10" s="109" t="s">
        <v>95</v>
      </c>
      <c r="C10" s="103" t="s">
        <v>273</v>
      </c>
      <c r="D10" s="54"/>
      <c r="E10" s="52" t="s">
        <v>300</v>
      </c>
      <c r="F10" s="103" t="s">
        <v>249</v>
      </c>
      <c r="G10" s="52"/>
      <c r="H10" s="52"/>
      <c r="I10" s="52"/>
      <c r="J10" s="52"/>
      <c r="K10" s="52"/>
      <c r="L10" s="19"/>
      <c r="M10" s="52"/>
      <c r="N10" s="19"/>
      <c r="O10" s="52"/>
      <c r="P10" s="19"/>
      <c r="Q10" s="52"/>
      <c r="R10" s="19"/>
      <c r="S10" s="52"/>
      <c r="T10" s="19"/>
      <c r="U10" s="56"/>
      <c r="V10" s="19"/>
      <c r="W10" s="56"/>
      <c r="X10" s="52"/>
      <c r="Y10" s="52"/>
      <c r="Z10" s="52"/>
      <c r="AA10" s="52"/>
      <c r="AB10" s="52"/>
      <c r="AC10" s="52"/>
    </row>
    <row r="11" spans="1:29" x14ac:dyDescent="0.25">
      <c r="A11" s="111" t="s">
        <v>47</v>
      </c>
      <c r="B11" s="109" t="s">
        <v>96</v>
      </c>
      <c r="C11" s="103" t="s">
        <v>273</v>
      </c>
      <c r="D11" s="54" t="s">
        <v>310</v>
      </c>
      <c r="E11" s="52" t="s">
        <v>300</v>
      </c>
      <c r="F11" s="103" t="s">
        <v>303</v>
      </c>
      <c r="G11" s="52" t="s">
        <v>458</v>
      </c>
      <c r="H11" s="52"/>
      <c r="I11" s="52"/>
      <c r="J11" s="52"/>
      <c r="K11" s="52"/>
      <c r="L11" s="19"/>
      <c r="M11" s="52"/>
      <c r="N11" s="19"/>
      <c r="O11" s="52"/>
      <c r="P11" s="19"/>
      <c r="Q11" s="52"/>
      <c r="R11" s="19"/>
      <c r="S11" s="52"/>
      <c r="T11" s="19"/>
      <c r="U11" s="84"/>
      <c r="V11" s="19"/>
      <c r="W11" s="56"/>
      <c r="X11" s="52"/>
      <c r="Y11" s="52"/>
      <c r="Z11" s="52"/>
      <c r="AA11" s="52"/>
      <c r="AB11" s="52"/>
      <c r="AC11" s="52"/>
    </row>
    <row r="12" spans="1:29" x14ac:dyDescent="0.25">
      <c r="A12" s="111" t="s">
        <v>48</v>
      </c>
      <c r="B12" s="109" t="s">
        <v>97</v>
      </c>
      <c r="C12" s="103" t="s">
        <v>272</v>
      </c>
      <c r="D12" s="54"/>
      <c r="E12" s="52" t="s">
        <v>300</v>
      </c>
      <c r="F12" s="103" t="s">
        <v>454</v>
      </c>
      <c r="G12" s="52" t="s">
        <v>458</v>
      </c>
      <c r="H12" s="52"/>
      <c r="I12" s="52"/>
      <c r="J12" s="52"/>
      <c r="K12" s="52"/>
      <c r="L12" s="19"/>
      <c r="M12" s="52"/>
      <c r="N12" s="19"/>
      <c r="O12" s="52"/>
      <c r="P12" s="19"/>
      <c r="Q12" s="52"/>
      <c r="R12" s="19"/>
      <c r="S12" s="52"/>
      <c r="T12" s="19"/>
      <c r="U12" s="85"/>
      <c r="V12" s="19"/>
      <c r="W12" s="56"/>
      <c r="X12" s="52"/>
      <c r="Y12" s="52"/>
      <c r="Z12" s="52"/>
      <c r="AA12" s="52"/>
      <c r="AB12" s="52"/>
      <c r="AC12" s="52"/>
    </row>
    <row r="13" spans="1:29" x14ac:dyDescent="0.25">
      <c r="A13" s="111" t="s">
        <v>49</v>
      </c>
      <c r="B13" s="109" t="s">
        <v>98</v>
      </c>
      <c r="C13" s="103" t="s">
        <v>273</v>
      </c>
      <c r="D13" s="54"/>
      <c r="E13" s="52" t="s">
        <v>300</v>
      </c>
      <c r="F13" s="103" t="s">
        <v>454</v>
      </c>
      <c r="G13" s="52" t="s">
        <v>458</v>
      </c>
      <c r="H13" s="52"/>
      <c r="I13" s="52"/>
      <c r="J13" s="52"/>
      <c r="K13" s="52"/>
      <c r="L13" s="19"/>
      <c r="M13" s="52"/>
      <c r="N13" s="19"/>
      <c r="O13" s="52"/>
      <c r="P13" s="19"/>
      <c r="Q13" s="52"/>
      <c r="R13" s="19"/>
      <c r="S13" s="52"/>
      <c r="T13" s="19"/>
      <c r="U13" s="56"/>
      <c r="V13" s="19"/>
      <c r="W13" s="84"/>
      <c r="X13" s="52"/>
      <c r="Y13" s="52"/>
      <c r="Z13" s="52"/>
      <c r="AA13" s="52"/>
      <c r="AB13" s="52"/>
      <c r="AC13" s="52"/>
    </row>
    <row r="14" spans="1:29" x14ac:dyDescent="0.25">
      <c r="A14" s="111" t="s">
        <v>50</v>
      </c>
      <c r="B14" s="109" t="s">
        <v>99</v>
      </c>
      <c r="C14" s="103" t="s">
        <v>272</v>
      </c>
      <c r="D14" s="53"/>
      <c r="E14" s="52" t="s">
        <v>300</v>
      </c>
      <c r="F14" s="103" t="s">
        <v>249</v>
      </c>
      <c r="G14" s="52"/>
      <c r="H14" s="52"/>
      <c r="I14" s="52"/>
      <c r="J14" s="52"/>
      <c r="K14" s="52"/>
      <c r="L14" s="19"/>
      <c r="M14" s="52"/>
      <c r="N14" s="19"/>
      <c r="O14" s="52"/>
      <c r="P14" s="19"/>
      <c r="Q14" s="52"/>
      <c r="R14" s="19"/>
      <c r="S14" s="52"/>
      <c r="T14" s="19"/>
      <c r="U14" s="56"/>
      <c r="V14" s="19"/>
      <c r="W14" s="56"/>
      <c r="X14" s="52"/>
      <c r="Y14" s="52"/>
      <c r="Z14" s="52"/>
      <c r="AA14" s="52"/>
      <c r="AB14" s="52"/>
      <c r="AC14" s="52"/>
    </row>
    <row r="15" spans="1:29" x14ac:dyDescent="0.25">
      <c r="A15" s="111" t="s">
        <v>51</v>
      </c>
      <c r="B15" s="109" t="s">
        <v>100</v>
      </c>
      <c r="C15" s="103" t="s">
        <v>273</v>
      </c>
      <c r="D15" s="53" t="s">
        <v>316</v>
      </c>
      <c r="E15" s="52" t="s">
        <v>300</v>
      </c>
      <c r="F15" s="103" t="s">
        <v>455</v>
      </c>
      <c r="G15" s="52" t="s">
        <v>300</v>
      </c>
      <c r="H15" s="52"/>
      <c r="I15" s="52"/>
      <c r="J15" s="52"/>
      <c r="K15" s="52"/>
      <c r="L15" s="19"/>
      <c r="M15" s="52"/>
      <c r="N15" s="19"/>
      <c r="O15" s="52"/>
      <c r="P15" s="19"/>
      <c r="Q15" s="52"/>
      <c r="R15" s="19"/>
      <c r="S15" s="52"/>
      <c r="T15" s="19"/>
      <c r="U15" s="85"/>
      <c r="V15" s="19"/>
      <c r="W15" s="85"/>
      <c r="X15" s="52"/>
      <c r="Y15" s="52"/>
      <c r="Z15" s="52"/>
      <c r="AA15" s="52"/>
      <c r="AB15" s="52"/>
      <c r="AC15" s="52"/>
    </row>
    <row r="16" spans="1:29" x14ac:dyDescent="0.25">
      <c r="A16" s="111" t="s">
        <v>52</v>
      </c>
      <c r="B16" s="109" t="s">
        <v>101</v>
      </c>
      <c r="C16" s="103" t="s">
        <v>273</v>
      </c>
      <c r="D16" s="53"/>
      <c r="E16" s="52" t="s">
        <v>300</v>
      </c>
      <c r="F16" s="103" t="s">
        <v>249</v>
      </c>
      <c r="G16" s="52"/>
      <c r="H16" s="52"/>
      <c r="I16" s="52"/>
      <c r="J16" s="52"/>
      <c r="K16" s="52"/>
      <c r="L16" s="19"/>
      <c r="M16" s="52"/>
      <c r="N16" s="19"/>
      <c r="O16" s="52"/>
      <c r="P16" s="19"/>
      <c r="Q16" s="52"/>
      <c r="R16" s="19"/>
      <c r="S16" s="52"/>
      <c r="T16" s="19"/>
      <c r="U16" s="56"/>
      <c r="V16" s="19"/>
      <c r="W16" s="56"/>
      <c r="X16" s="52"/>
      <c r="Y16" s="52"/>
      <c r="Z16" s="52"/>
      <c r="AA16" s="52"/>
      <c r="AB16" s="52"/>
      <c r="AC16" s="52"/>
    </row>
    <row r="17" spans="1:29" x14ac:dyDescent="0.25">
      <c r="A17" s="112" t="s">
        <v>53</v>
      </c>
      <c r="B17" s="109" t="s">
        <v>102</v>
      </c>
      <c r="C17" s="103" t="s">
        <v>273</v>
      </c>
      <c r="D17" s="54" t="s">
        <v>315</v>
      </c>
      <c r="E17" s="52" t="s">
        <v>300</v>
      </c>
      <c r="F17" s="103" t="s">
        <v>454</v>
      </c>
      <c r="G17" s="52" t="s">
        <v>458</v>
      </c>
      <c r="H17" s="52"/>
      <c r="I17" s="52"/>
      <c r="J17" s="52"/>
      <c r="K17" s="52"/>
      <c r="L17" s="19"/>
      <c r="M17" s="52"/>
      <c r="N17" s="19"/>
      <c r="O17" s="52"/>
      <c r="P17" s="19"/>
      <c r="Q17" s="52"/>
      <c r="R17" s="19"/>
      <c r="S17" s="52"/>
      <c r="T17" s="19"/>
      <c r="U17" s="84"/>
      <c r="V17" s="19"/>
      <c r="W17" s="84"/>
      <c r="X17" s="52"/>
      <c r="Y17" s="52"/>
      <c r="Z17" s="52"/>
      <c r="AA17" s="52"/>
      <c r="AB17" s="52"/>
      <c r="AC17" s="52"/>
    </row>
    <row r="18" spans="1:29" x14ac:dyDescent="0.25">
      <c r="A18" s="112" t="s">
        <v>54</v>
      </c>
      <c r="B18" s="109" t="s">
        <v>103</v>
      </c>
      <c r="C18" s="97" t="s">
        <v>273</v>
      </c>
      <c r="D18" s="54"/>
      <c r="E18" s="52" t="s">
        <v>300</v>
      </c>
      <c r="F18" s="103" t="s">
        <v>249</v>
      </c>
      <c r="G18" s="52"/>
      <c r="H18" s="52"/>
      <c r="I18" s="52"/>
      <c r="J18" s="52"/>
      <c r="K18" s="52"/>
      <c r="L18" s="19"/>
      <c r="M18" s="52"/>
      <c r="N18" s="19"/>
      <c r="O18" s="52"/>
      <c r="P18" s="19"/>
      <c r="Q18" s="52"/>
      <c r="R18" s="19"/>
      <c r="S18" s="52"/>
      <c r="T18" s="19"/>
      <c r="U18" s="56"/>
      <c r="V18" s="19"/>
      <c r="W18" s="56"/>
      <c r="X18" s="52"/>
      <c r="Y18" s="52"/>
      <c r="Z18" s="52"/>
      <c r="AA18" s="52"/>
      <c r="AB18" s="52"/>
      <c r="AC18" s="52"/>
    </row>
    <row r="19" spans="1:29" x14ac:dyDescent="0.25">
      <c r="A19" s="111" t="s">
        <v>55</v>
      </c>
      <c r="B19" s="109" t="s">
        <v>104</v>
      </c>
      <c r="C19" s="103" t="s">
        <v>272</v>
      </c>
      <c r="D19" s="54"/>
      <c r="E19" s="52" t="s">
        <v>300</v>
      </c>
      <c r="F19" s="103" t="s">
        <v>454</v>
      </c>
      <c r="G19" s="52" t="s">
        <v>459</v>
      </c>
      <c r="H19" s="52"/>
      <c r="I19" s="52"/>
      <c r="J19" s="52"/>
      <c r="K19" s="52"/>
      <c r="L19" s="19"/>
      <c r="M19" s="19"/>
      <c r="N19" s="19"/>
      <c r="O19" s="52"/>
      <c r="P19" s="19"/>
      <c r="Q19" s="52"/>
      <c r="R19" s="19"/>
      <c r="S19" s="52"/>
      <c r="T19" s="19"/>
      <c r="U19" s="56"/>
      <c r="V19" s="19"/>
      <c r="W19" s="85"/>
      <c r="X19" s="52"/>
      <c r="Y19" s="52"/>
      <c r="Z19" s="52"/>
      <c r="AA19" s="52"/>
      <c r="AB19" s="52"/>
      <c r="AC19" s="52"/>
    </row>
    <row r="20" spans="1:29" x14ac:dyDescent="0.25">
      <c r="A20" s="111" t="s">
        <v>56</v>
      </c>
      <c r="B20" s="109" t="s">
        <v>105</v>
      </c>
      <c r="C20" s="103" t="s">
        <v>244</v>
      </c>
      <c r="D20" s="57"/>
      <c r="E20" s="52" t="s">
        <v>300</v>
      </c>
      <c r="F20" s="103" t="s">
        <v>455</v>
      </c>
      <c r="G20" s="52" t="s">
        <v>458</v>
      </c>
      <c r="H20" s="52"/>
      <c r="I20" s="52"/>
      <c r="J20" s="52"/>
      <c r="K20" s="52"/>
      <c r="L20" s="19"/>
      <c r="M20" s="52"/>
      <c r="N20" s="19"/>
      <c r="O20" s="52"/>
      <c r="P20" s="19"/>
      <c r="Q20" s="52"/>
      <c r="R20" s="19"/>
      <c r="S20" s="52"/>
      <c r="T20" s="19"/>
      <c r="U20" s="84"/>
      <c r="V20" s="19"/>
      <c r="W20" s="84"/>
      <c r="X20" s="52"/>
      <c r="Y20" s="52"/>
      <c r="Z20" s="52"/>
      <c r="AA20" s="52"/>
      <c r="AB20" s="52"/>
      <c r="AC20" s="52"/>
    </row>
    <row r="21" spans="1:29" x14ac:dyDescent="0.25">
      <c r="A21" s="111" t="s">
        <v>57</v>
      </c>
      <c r="B21" s="109" t="s">
        <v>106</v>
      </c>
      <c r="C21" s="103" t="s">
        <v>272</v>
      </c>
      <c r="D21" s="53"/>
      <c r="E21" s="52" t="s">
        <v>300</v>
      </c>
      <c r="F21" s="103" t="s">
        <v>249</v>
      </c>
      <c r="G21" s="52"/>
      <c r="H21" s="52"/>
      <c r="I21" s="52"/>
      <c r="J21" s="52"/>
      <c r="K21" s="52"/>
      <c r="L21" s="19"/>
      <c r="M21" s="52"/>
      <c r="N21" s="19"/>
      <c r="O21" s="52"/>
      <c r="P21" s="19"/>
      <c r="Q21" s="52"/>
      <c r="R21" s="19"/>
      <c r="S21" s="52"/>
      <c r="T21" s="19"/>
      <c r="U21" s="84"/>
      <c r="V21" s="19"/>
      <c r="W21" s="84"/>
      <c r="X21" s="52"/>
      <c r="Y21" s="52"/>
      <c r="Z21" s="52"/>
      <c r="AA21" s="52"/>
      <c r="AB21" s="52"/>
      <c r="AC21" s="52"/>
    </row>
    <row r="22" spans="1:29" x14ac:dyDescent="0.25">
      <c r="A22" s="111" t="s">
        <v>58</v>
      </c>
      <c r="B22" s="109" t="s">
        <v>107</v>
      </c>
      <c r="C22" s="103" t="s">
        <v>244</v>
      </c>
      <c r="D22" s="53" t="s">
        <v>308</v>
      </c>
      <c r="E22" s="52" t="s">
        <v>300</v>
      </c>
      <c r="F22" s="103" t="s">
        <v>249</v>
      </c>
      <c r="G22" s="52"/>
      <c r="H22" s="52"/>
      <c r="I22" s="52"/>
      <c r="J22" s="52"/>
      <c r="K22" s="52"/>
      <c r="L22" s="19"/>
      <c r="M22" s="52"/>
      <c r="N22" s="19"/>
      <c r="O22" s="52"/>
      <c r="P22" s="19"/>
      <c r="Q22" s="52"/>
      <c r="R22" s="19"/>
      <c r="S22" s="83"/>
      <c r="T22" s="19"/>
      <c r="U22" s="94"/>
      <c r="V22" s="19"/>
      <c r="W22" s="95"/>
      <c r="X22" s="83"/>
      <c r="Y22" s="52"/>
      <c r="Z22" s="52"/>
      <c r="AA22" s="52"/>
      <c r="AB22" s="52"/>
      <c r="AC22" s="52"/>
    </row>
    <row r="23" spans="1:29" x14ac:dyDescent="0.25">
      <c r="A23" s="111" t="s">
        <v>59</v>
      </c>
      <c r="B23" s="109" t="s">
        <v>108</v>
      </c>
      <c r="C23" s="103" t="s">
        <v>244</v>
      </c>
      <c r="D23" s="53"/>
      <c r="E23" s="52" t="s">
        <v>300</v>
      </c>
      <c r="F23" s="103" t="s">
        <v>249</v>
      </c>
      <c r="G23" s="52"/>
      <c r="H23" s="52"/>
      <c r="I23" s="52"/>
      <c r="J23" s="52"/>
      <c r="K23" s="52"/>
      <c r="L23" s="19"/>
      <c r="M23" s="52"/>
      <c r="N23" s="19"/>
      <c r="O23" s="52"/>
      <c r="P23" s="19"/>
      <c r="Q23" s="52"/>
      <c r="R23" s="19"/>
      <c r="S23" s="83"/>
      <c r="T23" s="19"/>
      <c r="U23" s="94"/>
      <c r="V23" s="19"/>
      <c r="W23" s="94"/>
      <c r="X23" s="83"/>
      <c r="Y23" s="52"/>
      <c r="Z23" s="52"/>
      <c r="AA23" s="52"/>
      <c r="AB23" s="52"/>
      <c r="AC23" s="52"/>
    </row>
    <row r="24" spans="1:29" x14ac:dyDescent="0.25">
      <c r="A24" s="111" t="s">
        <v>60</v>
      </c>
      <c r="B24" s="109" t="s">
        <v>198</v>
      </c>
      <c r="C24" s="103" t="s">
        <v>244</v>
      </c>
      <c r="D24" s="54"/>
      <c r="E24" s="52" t="s">
        <v>300</v>
      </c>
      <c r="F24" s="103" t="s">
        <v>249</v>
      </c>
      <c r="G24" s="52"/>
      <c r="H24" s="52"/>
      <c r="I24" s="52"/>
      <c r="J24" s="52"/>
      <c r="K24" s="52"/>
      <c r="L24" s="19"/>
      <c r="M24" s="52"/>
      <c r="N24" s="19"/>
      <c r="O24" s="52"/>
      <c r="P24" s="19"/>
      <c r="Q24" s="52"/>
      <c r="R24" s="19"/>
      <c r="S24" s="83"/>
      <c r="T24" s="19"/>
      <c r="U24" s="95"/>
      <c r="V24" s="19"/>
      <c r="W24" s="95"/>
      <c r="X24" s="83"/>
      <c r="Y24" s="52"/>
      <c r="Z24" s="52"/>
      <c r="AA24" s="52"/>
      <c r="AB24" s="52"/>
      <c r="AC24" s="52"/>
    </row>
    <row r="25" spans="1:29" x14ac:dyDescent="0.25">
      <c r="A25" s="111" t="s">
        <v>193</v>
      </c>
      <c r="B25" s="109" t="s">
        <v>359</v>
      </c>
      <c r="C25" s="103" t="s">
        <v>273</v>
      </c>
      <c r="D25" s="53" t="s">
        <v>309</v>
      </c>
      <c r="E25" s="52" t="s">
        <v>300</v>
      </c>
      <c r="F25" s="103" t="s">
        <v>249</v>
      </c>
      <c r="G25" s="52"/>
      <c r="H25" s="52"/>
      <c r="I25" s="52"/>
      <c r="J25" s="52"/>
      <c r="K25" s="82"/>
      <c r="L25" s="19"/>
      <c r="M25" s="52"/>
      <c r="N25" s="19"/>
      <c r="O25" s="52"/>
      <c r="P25" s="19"/>
      <c r="Q25" s="52"/>
      <c r="R25" s="19"/>
      <c r="S25" s="83"/>
      <c r="T25" s="19"/>
      <c r="U25" s="94"/>
      <c r="V25" s="19"/>
      <c r="W25" s="94"/>
      <c r="X25" s="83"/>
      <c r="Y25" s="52"/>
      <c r="Z25" s="52"/>
      <c r="AA25" s="52"/>
      <c r="AB25" s="52"/>
      <c r="AC25" s="52"/>
    </row>
    <row r="26" spans="1:29" x14ac:dyDescent="0.25">
      <c r="A26" s="111" t="s">
        <v>245</v>
      </c>
      <c r="B26" s="109" t="s">
        <v>314</v>
      </c>
      <c r="C26" s="103" t="s">
        <v>273</v>
      </c>
      <c r="D26" s="54"/>
      <c r="E26" s="52" t="s">
        <v>300</v>
      </c>
      <c r="F26" s="103" t="s">
        <v>249</v>
      </c>
      <c r="G26" s="52"/>
      <c r="H26" s="52"/>
      <c r="I26" s="52"/>
      <c r="J26" s="52"/>
      <c r="K26" s="82"/>
      <c r="L26" s="19"/>
      <c r="M26" s="52"/>
      <c r="N26" s="19"/>
      <c r="O26" s="52"/>
      <c r="P26" s="19"/>
      <c r="Q26" s="52"/>
      <c r="R26" s="19"/>
      <c r="S26" s="83"/>
      <c r="T26" s="19"/>
      <c r="U26" s="94"/>
      <c r="V26" s="19"/>
      <c r="W26" s="94"/>
      <c r="X26" s="83"/>
      <c r="Y26" s="52"/>
      <c r="Z26" s="52"/>
      <c r="AA26" s="52"/>
      <c r="AB26" s="52"/>
      <c r="AC26" s="52"/>
    </row>
    <row r="27" spans="1:29" x14ac:dyDescent="0.25">
      <c r="A27" s="111" t="s">
        <v>61</v>
      </c>
      <c r="B27" s="109" t="s">
        <v>109</v>
      </c>
      <c r="C27" s="103" t="s">
        <v>244</v>
      </c>
      <c r="D27" s="54"/>
      <c r="E27" s="52" t="s">
        <v>300</v>
      </c>
      <c r="F27" s="103" t="s">
        <v>249</v>
      </c>
      <c r="G27" s="52"/>
      <c r="H27" s="52"/>
      <c r="I27" s="52"/>
      <c r="J27" s="52"/>
      <c r="K27" s="52"/>
      <c r="L27" s="19"/>
      <c r="M27" s="52"/>
      <c r="N27" s="19"/>
      <c r="O27" s="52"/>
      <c r="P27" s="19"/>
      <c r="Q27" s="52"/>
      <c r="R27" s="19"/>
      <c r="S27" s="83"/>
      <c r="T27" s="19"/>
      <c r="U27" s="95"/>
      <c r="V27" s="19"/>
      <c r="W27" s="94"/>
      <c r="X27" s="83"/>
      <c r="Y27" s="52"/>
      <c r="Z27" s="52"/>
      <c r="AA27" s="52"/>
      <c r="AB27" s="52"/>
      <c r="AC27" s="52"/>
    </row>
    <row r="28" spans="1:29" x14ac:dyDescent="0.25">
      <c r="A28" s="111" t="s">
        <v>62</v>
      </c>
      <c r="B28" s="109" t="s">
        <v>110</v>
      </c>
      <c r="C28" s="103" t="s">
        <v>273</v>
      </c>
      <c r="D28" s="54"/>
      <c r="E28" s="52" t="s">
        <v>300</v>
      </c>
      <c r="F28" s="103" t="s">
        <v>249</v>
      </c>
      <c r="G28" s="52"/>
      <c r="H28" s="52"/>
      <c r="I28" s="52"/>
      <c r="J28" s="52"/>
      <c r="K28" s="52"/>
      <c r="L28" s="19"/>
      <c r="M28" s="52"/>
      <c r="N28" s="19"/>
      <c r="O28" s="52"/>
      <c r="P28" s="19"/>
      <c r="Q28" s="52"/>
      <c r="R28" s="19"/>
      <c r="S28" s="83"/>
      <c r="T28" s="19"/>
      <c r="U28" s="94"/>
      <c r="V28" s="19"/>
      <c r="W28" s="94"/>
      <c r="X28" s="83"/>
      <c r="Y28" s="52"/>
      <c r="Z28" s="52"/>
      <c r="AA28" s="52"/>
      <c r="AB28" s="52"/>
      <c r="AC28" s="52"/>
    </row>
    <row r="29" spans="1:29" x14ac:dyDescent="0.25">
      <c r="A29" s="111" t="s">
        <v>63</v>
      </c>
      <c r="B29" s="109" t="s">
        <v>111</v>
      </c>
      <c r="C29" s="103" t="s">
        <v>272</v>
      </c>
      <c r="D29" s="54"/>
      <c r="E29" s="52" t="s">
        <v>300</v>
      </c>
      <c r="F29" s="103" t="s">
        <v>454</v>
      </c>
      <c r="G29" s="52" t="s">
        <v>459</v>
      </c>
      <c r="H29" s="52"/>
      <c r="I29" s="52"/>
      <c r="J29" s="52"/>
      <c r="K29" s="52"/>
      <c r="L29" s="19"/>
      <c r="M29" s="52"/>
      <c r="N29" s="19"/>
      <c r="O29" s="52"/>
      <c r="P29" s="19"/>
      <c r="Q29" s="52"/>
      <c r="R29" s="19"/>
      <c r="S29" s="83"/>
      <c r="T29" s="19"/>
      <c r="U29" s="96"/>
      <c r="V29" s="19"/>
      <c r="W29" s="96"/>
      <c r="X29" s="83"/>
      <c r="Y29" s="52"/>
      <c r="Z29" s="52"/>
      <c r="AA29" s="52"/>
      <c r="AB29" s="52"/>
      <c r="AC29" s="52"/>
    </row>
    <row r="30" spans="1:29" x14ac:dyDescent="0.25">
      <c r="A30" s="111" t="s">
        <v>64</v>
      </c>
      <c r="B30" s="109" t="s">
        <v>112</v>
      </c>
      <c r="C30" s="103" t="s">
        <v>273</v>
      </c>
      <c r="D30" s="53"/>
      <c r="E30" s="52" t="s">
        <v>300</v>
      </c>
      <c r="F30" s="103" t="s">
        <v>303</v>
      </c>
      <c r="G30" s="52" t="s">
        <v>458</v>
      </c>
      <c r="H30" s="52"/>
      <c r="I30" s="52"/>
      <c r="J30" s="52"/>
      <c r="K30" s="52"/>
      <c r="L30" s="19"/>
      <c r="M30" s="52"/>
      <c r="N30" s="19"/>
      <c r="O30" s="52"/>
      <c r="P30" s="19"/>
      <c r="Q30" s="52"/>
      <c r="R30" s="19"/>
      <c r="S30" s="83"/>
      <c r="T30" s="19"/>
      <c r="U30" s="83"/>
      <c r="V30" s="19"/>
      <c r="W30" s="95"/>
      <c r="X30" s="83"/>
      <c r="Y30" s="52"/>
      <c r="Z30" s="52"/>
      <c r="AA30" s="52"/>
      <c r="AB30" s="52"/>
      <c r="AC30" s="52"/>
    </row>
    <row r="31" spans="1:29" x14ac:dyDescent="0.25">
      <c r="A31" s="111" t="s">
        <v>65</v>
      </c>
      <c r="B31" s="109" t="s">
        <v>113</v>
      </c>
      <c r="C31" s="103" t="s">
        <v>244</v>
      </c>
      <c r="D31" s="54"/>
      <c r="E31" s="52" t="s">
        <v>300</v>
      </c>
      <c r="F31" s="103" t="s">
        <v>454</v>
      </c>
      <c r="G31" s="52" t="s">
        <v>459</v>
      </c>
      <c r="H31" s="52"/>
      <c r="I31" s="52"/>
      <c r="J31" s="52"/>
      <c r="K31" s="52"/>
      <c r="L31" s="19"/>
      <c r="M31" s="52"/>
      <c r="N31" s="19"/>
      <c r="O31" s="52"/>
      <c r="P31" s="19"/>
      <c r="Q31" s="52"/>
      <c r="R31" s="19"/>
      <c r="S31" s="83"/>
      <c r="T31" s="19"/>
      <c r="U31" s="96"/>
      <c r="V31" s="19"/>
      <c r="W31" s="96"/>
      <c r="X31" s="83"/>
      <c r="Y31" s="52"/>
      <c r="Z31" s="52"/>
      <c r="AA31" s="52"/>
      <c r="AB31" s="52"/>
      <c r="AC31" s="52"/>
    </row>
    <row r="32" spans="1:29" x14ac:dyDescent="0.25">
      <c r="A32" s="111" t="s">
        <v>66</v>
      </c>
      <c r="B32" s="109" t="s">
        <v>114</v>
      </c>
      <c r="C32" s="103" t="s">
        <v>273</v>
      </c>
      <c r="D32" s="54" t="s">
        <v>308</v>
      </c>
      <c r="E32" s="52" t="s">
        <v>300</v>
      </c>
      <c r="F32" s="103" t="s">
        <v>249</v>
      </c>
      <c r="G32" s="52"/>
      <c r="H32" s="52"/>
      <c r="I32" s="52"/>
      <c r="J32" s="52"/>
      <c r="K32" s="52"/>
      <c r="L32" s="19"/>
      <c r="M32" s="52"/>
      <c r="N32" s="19"/>
      <c r="O32" s="52"/>
      <c r="P32" s="19"/>
      <c r="Q32" s="52"/>
      <c r="R32" s="19"/>
      <c r="S32" s="83"/>
      <c r="T32" s="19"/>
      <c r="U32" s="95"/>
      <c r="V32" s="19"/>
      <c r="W32" s="95"/>
      <c r="X32" s="83"/>
      <c r="Y32" s="52"/>
      <c r="Z32" s="52"/>
      <c r="AA32" s="52"/>
      <c r="AB32" s="52"/>
      <c r="AC32" s="52"/>
    </row>
    <row r="33" spans="1:29" x14ac:dyDescent="0.25">
      <c r="A33" s="111" t="s">
        <v>67</v>
      </c>
      <c r="B33" s="109" t="s">
        <v>115</v>
      </c>
      <c r="C33" s="103" t="s">
        <v>244</v>
      </c>
      <c r="D33" s="54"/>
      <c r="E33" s="52" t="s">
        <v>300</v>
      </c>
      <c r="F33" s="103" t="s">
        <v>244</v>
      </c>
      <c r="G33" s="52" t="s">
        <v>459</v>
      </c>
      <c r="H33" s="52"/>
      <c r="I33" s="52"/>
      <c r="J33" s="52"/>
      <c r="K33" s="52"/>
      <c r="L33" s="19"/>
      <c r="M33" s="52"/>
      <c r="N33" s="19"/>
      <c r="O33" s="52"/>
      <c r="P33" s="19"/>
      <c r="Q33" s="52"/>
      <c r="R33" s="19"/>
      <c r="S33" s="83"/>
      <c r="T33" s="19"/>
      <c r="U33" s="94"/>
      <c r="V33" s="19"/>
      <c r="W33" s="94"/>
      <c r="X33" s="83"/>
      <c r="Y33" s="52"/>
      <c r="Z33" s="52"/>
      <c r="AA33" s="52"/>
      <c r="AB33" s="52"/>
      <c r="AC33" s="52"/>
    </row>
    <row r="34" spans="1:29" x14ac:dyDescent="0.25">
      <c r="A34" s="111" t="s">
        <v>68</v>
      </c>
      <c r="B34" s="109" t="s">
        <v>116</v>
      </c>
      <c r="C34" s="103" t="s">
        <v>272</v>
      </c>
      <c r="D34" s="53"/>
      <c r="E34" s="52" t="s">
        <v>300</v>
      </c>
      <c r="F34" s="103" t="s">
        <v>249</v>
      </c>
      <c r="G34" s="52"/>
      <c r="H34" s="52"/>
      <c r="I34" s="52"/>
      <c r="J34" s="52"/>
      <c r="K34" s="52"/>
      <c r="L34" s="19"/>
      <c r="M34" s="52"/>
      <c r="N34" s="19"/>
      <c r="O34" s="52"/>
      <c r="P34" s="19"/>
      <c r="Q34" s="52"/>
      <c r="R34" s="19"/>
      <c r="S34" s="83"/>
      <c r="T34" s="19"/>
      <c r="U34" s="94"/>
      <c r="V34" s="19"/>
      <c r="W34" s="94"/>
      <c r="X34" s="83"/>
      <c r="Y34" s="52"/>
      <c r="Z34" s="52"/>
      <c r="AA34" s="52"/>
      <c r="AB34" s="52"/>
      <c r="AC34" s="52"/>
    </row>
    <row r="35" spans="1:29" x14ac:dyDescent="0.25">
      <c r="A35" s="111" t="s">
        <v>69</v>
      </c>
      <c r="B35" s="109" t="s">
        <v>117</v>
      </c>
      <c r="C35" s="103" t="s">
        <v>273</v>
      </c>
      <c r="D35" s="53"/>
      <c r="E35" s="52" t="s">
        <v>300</v>
      </c>
      <c r="F35" s="103" t="s">
        <v>303</v>
      </c>
      <c r="G35" s="52" t="s">
        <v>458</v>
      </c>
      <c r="H35" s="52"/>
      <c r="I35" s="52"/>
      <c r="J35" s="52"/>
      <c r="K35" s="52"/>
      <c r="L35" s="19"/>
      <c r="M35" s="52"/>
      <c r="N35" s="19"/>
      <c r="O35" s="52"/>
      <c r="P35" s="19"/>
      <c r="Q35" s="52"/>
      <c r="R35" s="19"/>
      <c r="S35" s="83"/>
      <c r="T35" s="19"/>
      <c r="U35" s="95"/>
      <c r="V35" s="19"/>
      <c r="W35" s="95"/>
      <c r="X35" s="83"/>
      <c r="Y35" s="52"/>
      <c r="Z35" s="52"/>
      <c r="AA35" s="52"/>
      <c r="AB35" s="52"/>
      <c r="AC35" s="52"/>
    </row>
    <row r="36" spans="1:29" x14ac:dyDescent="0.25">
      <c r="A36" s="111" t="s">
        <v>70</v>
      </c>
      <c r="B36" s="109" t="s">
        <v>118</v>
      </c>
      <c r="C36" s="103" t="s">
        <v>273</v>
      </c>
      <c r="D36" s="53" t="s">
        <v>308</v>
      </c>
      <c r="E36" s="52" t="s">
        <v>300</v>
      </c>
      <c r="F36" s="103" t="s">
        <v>303</v>
      </c>
      <c r="G36" s="52" t="s">
        <v>458</v>
      </c>
      <c r="H36" s="52"/>
      <c r="I36" s="52"/>
      <c r="J36" s="52"/>
      <c r="K36" s="52"/>
      <c r="L36" s="19"/>
      <c r="M36" s="52"/>
      <c r="N36" s="19"/>
      <c r="O36" s="52"/>
      <c r="P36" s="19"/>
      <c r="Q36" s="52"/>
      <c r="R36" s="19"/>
      <c r="S36" s="83"/>
      <c r="T36" s="19"/>
      <c r="U36" s="94"/>
      <c r="V36" s="19"/>
      <c r="W36" s="95"/>
      <c r="X36" s="83"/>
      <c r="Y36" s="52"/>
      <c r="Z36" s="52"/>
      <c r="AA36" s="52"/>
      <c r="AB36" s="52"/>
      <c r="AC36" s="52"/>
    </row>
    <row r="37" spans="1:29" x14ac:dyDescent="0.25">
      <c r="A37" s="111" t="s">
        <v>71</v>
      </c>
      <c r="B37" s="109" t="s">
        <v>119</v>
      </c>
      <c r="C37" s="103" t="s">
        <v>273</v>
      </c>
      <c r="D37" s="57"/>
      <c r="E37" s="52" t="s">
        <v>300</v>
      </c>
      <c r="F37" s="103" t="s">
        <v>454</v>
      </c>
      <c r="G37" s="52" t="s">
        <v>458</v>
      </c>
      <c r="H37" s="52"/>
      <c r="I37" s="52"/>
      <c r="J37" s="52"/>
      <c r="K37" s="52"/>
      <c r="L37" s="19"/>
      <c r="M37" s="52"/>
      <c r="N37" s="19"/>
      <c r="O37" s="52"/>
      <c r="P37" s="19"/>
      <c r="Q37" s="52"/>
      <c r="R37" s="19"/>
      <c r="S37" s="83"/>
      <c r="T37" s="19"/>
      <c r="U37" s="94"/>
      <c r="V37" s="19"/>
      <c r="W37" s="95"/>
      <c r="X37" s="83"/>
      <c r="Y37" s="52"/>
      <c r="Z37" s="52"/>
      <c r="AA37" s="52"/>
      <c r="AB37" s="52"/>
      <c r="AC37" s="52"/>
    </row>
    <row r="38" spans="1:29" x14ac:dyDescent="0.25">
      <c r="A38" s="111" t="s">
        <v>72</v>
      </c>
      <c r="B38" s="109" t="s">
        <v>120</v>
      </c>
      <c r="C38" s="103" t="s">
        <v>273</v>
      </c>
      <c r="D38" s="53"/>
      <c r="E38" s="52" t="s">
        <v>300</v>
      </c>
      <c r="F38" s="103" t="s">
        <v>454</v>
      </c>
      <c r="G38" s="52" t="s">
        <v>458</v>
      </c>
      <c r="H38" s="52"/>
      <c r="I38" s="52"/>
      <c r="J38" s="52"/>
      <c r="K38" s="52"/>
      <c r="L38" s="19"/>
      <c r="M38" s="52"/>
      <c r="N38" s="19"/>
      <c r="O38" s="52"/>
      <c r="P38" s="19"/>
      <c r="Q38" s="52"/>
      <c r="R38" s="19"/>
      <c r="S38" s="83"/>
      <c r="T38" s="19"/>
      <c r="U38" s="96"/>
      <c r="V38" s="19"/>
      <c r="W38" s="96"/>
      <c r="X38" s="83"/>
      <c r="Y38" s="52"/>
      <c r="Z38" s="52"/>
      <c r="AA38" s="52"/>
      <c r="AB38" s="52"/>
      <c r="AC38" s="52"/>
    </row>
    <row r="39" spans="1:29" x14ac:dyDescent="0.25">
      <c r="A39" s="111" t="s">
        <v>73</v>
      </c>
      <c r="B39" s="109" t="s">
        <v>121</v>
      </c>
      <c r="C39" s="103" t="s">
        <v>273</v>
      </c>
      <c r="D39" s="53"/>
      <c r="E39" s="52" t="s">
        <v>300</v>
      </c>
      <c r="F39" s="103" t="s">
        <v>303</v>
      </c>
      <c r="G39" s="52" t="s">
        <v>300</v>
      </c>
      <c r="H39" s="52"/>
      <c r="I39" s="52"/>
      <c r="J39" s="52"/>
      <c r="K39" s="52"/>
      <c r="L39" s="19"/>
      <c r="M39" s="52"/>
      <c r="N39" s="19"/>
      <c r="O39" s="52"/>
      <c r="P39" s="19"/>
      <c r="Q39" s="52"/>
      <c r="R39" s="19"/>
      <c r="S39" s="83"/>
      <c r="T39" s="19"/>
      <c r="U39" s="96"/>
      <c r="V39" s="19"/>
      <c r="W39" s="96"/>
      <c r="X39" s="83"/>
      <c r="Y39" s="52"/>
      <c r="Z39" s="52"/>
      <c r="AA39" s="52"/>
      <c r="AB39" s="52"/>
      <c r="AC39" s="52"/>
    </row>
    <row r="40" spans="1:29" x14ac:dyDescent="0.25">
      <c r="A40" s="111" t="s">
        <v>74</v>
      </c>
      <c r="B40" s="109" t="s">
        <v>122</v>
      </c>
      <c r="C40" s="103" t="s">
        <v>244</v>
      </c>
      <c r="D40" s="53" t="s">
        <v>310</v>
      </c>
      <c r="E40" s="52" t="s">
        <v>300</v>
      </c>
      <c r="F40" s="103" t="s">
        <v>454</v>
      </c>
      <c r="G40" s="52" t="s">
        <v>458</v>
      </c>
      <c r="H40" s="81"/>
      <c r="I40" s="52"/>
      <c r="J40" s="52"/>
      <c r="K40" s="52"/>
      <c r="L40" s="19"/>
      <c r="M40" s="52"/>
      <c r="N40" s="19"/>
      <c r="O40" s="52"/>
      <c r="P40" s="19"/>
      <c r="Q40" s="52"/>
      <c r="R40" s="19"/>
      <c r="S40" s="83"/>
      <c r="T40" s="19"/>
      <c r="U40" s="94"/>
      <c r="V40" s="19"/>
      <c r="W40" s="94"/>
      <c r="X40" s="83"/>
      <c r="Y40" s="52"/>
      <c r="Z40" s="52"/>
      <c r="AA40" s="52"/>
      <c r="AB40" s="52"/>
      <c r="AC40" s="52"/>
    </row>
    <row r="41" spans="1:29" x14ac:dyDescent="0.25">
      <c r="A41" s="111" t="s">
        <v>75</v>
      </c>
      <c r="B41" s="109" t="s">
        <v>123</v>
      </c>
      <c r="C41" s="103" t="s">
        <v>272</v>
      </c>
      <c r="D41" s="53"/>
      <c r="E41" s="52" t="s">
        <v>300</v>
      </c>
      <c r="F41" s="103" t="s">
        <v>249</v>
      </c>
      <c r="G41" s="52"/>
      <c r="H41" s="52"/>
      <c r="I41" s="52"/>
      <c r="J41" s="52"/>
      <c r="K41" s="52"/>
      <c r="L41" s="19"/>
      <c r="M41" s="52"/>
      <c r="N41" s="19"/>
      <c r="O41" s="52"/>
      <c r="P41" s="19"/>
      <c r="Q41" s="52"/>
      <c r="R41" s="19"/>
      <c r="S41" s="83"/>
      <c r="T41" s="19"/>
      <c r="U41" s="94"/>
      <c r="V41" s="19"/>
      <c r="W41" s="94"/>
      <c r="X41" s="83"/>
      <c r="Y41" s="52"/>
      <c r="Z41" s="52"/>
      <c r="AA41" s="52"/>
      <c r="AB41" s="52"/>
      <c r="AC41" s="52"/>
    </row>
    <row r="42" spans="1:29" x14ac:dyDescent="0.25">
      <c r="A42" s="111" t="s">
        <v>76</v>
      </c>
      <c r="B42" s="109" t="s">
        <v>124</v>
      </c>
      <c r="C42" s="103" t="s">
        <v>244</v>
      </c>
      <c r="D42" s="53"/>
      <c r="E42" s="52" t="s">
        <v>300</v>
      </c>
      <c r="F42" s="103" t="s">
        <v>454</v>
      </c>
      <c r="G42" s="52" t="s">
        <v>458</v>
      </c>
      <c r="H42" s="52"/>
      <c r="I42" s="52"/>
      <c r="J42" s="52"/>
      <c r="K42" s="52"/>
      <c r="L42" s="19"/>
      <c r="M42" s="52"/>
      <c r="N42" s="19"/>
      <c r="O42" s="52"/>
      <c r="P42" s="19"/>
      <c r="Q42" s="52"/>
      <c r="R42" s="19"/>
      <c r="S42" s="83"/>
      <c r="T42" s="19"/>
      <c r="U42" s="96"/>
      <c r="V42" s="19"/>
      <c r="W42" s="96"/>
      <c r="X42" s="83"/>
      <c r="Y42" s="52"/>
      <c r="Z42" s="52"/>
      <c r="AA42" s="52"/>
      <c r="AB42" s="52"/>
      <c r="AC42" s="52"/>
    </row>
    <row r="43" spans="1:29" x14ac:dyDescent="0.25">
      <c r="A43" s="111" t="s">
        <v>77</v>
      </c>
      <c r="B43" s="109" t="s">
        <v>125</v>
      </c>
      <c r="C43" s="103" t="s">
        <v>273</v>
      </c>
      <c r="D43" s="53"/>
      <c r="E43" s="52" t="s">
        <v>300</v>
      </c>
      <c r="F43" s="103" t="s">
        <v>249</v>
      </c>
      <c r="G43" s="52"/>
      <c r="H43" s="52"/>
      <c r="I43" s="52"/>
      <c r="J43" s="52"/>
      <c r="K43" s="52"/>
      <c r="L43" s="19"/>
      <c r="M43" s="52"/>
      <c r="N43" s="19"/>
      <c r="O43" s="52"/>
      <c r="P43" s="19"/>
      <c r="Q43" s="52"/>
      <c r="R43" s="19"/>
      <c r="S43" s="83"/>
      <c r="T43" s="19"/>
      <c r="U43" s="95"/>
      <c r="V43" s="19"/>
      <c r="W43" s="95"/>
      <c r="X43" s="83"/>
      <c r="Y43" s="52"/>
      <c r="Z43" s="52"/>
      <c r="AA43" s="52"/>
      <c r="AB43" s="52"/>
      <c r="AC43" s="52"/>
    </row>
    <row r="44" spans="1:29" x14ac:dyDescent="0.25">
      <c r="A44" s="111" t="s">
        <v>78</v>
      </c>
      <c r="B44" s="109" t="s">
        <v>126</v>
      </c>
      <c r="C44" s="103" t="s">
        <v>273</v>
      </c>
      <c r="D44" s="53"/>
      <c r="E44" s="52" t="s">
        <v>300</v>
      </c>
      <c r="F44" s="103" t="s">
        <v>249</v>
      </c>
      <c r="G44" s="52"/>
      <c r="H44" s="52"/>
      <c r="I44" s="52"/>
      <c r="J44" s="52"/>
      <c r="K44" s="52"/>
      <c r="L44" s="19"/>
      <c r="M44" s="52"/>
      <c r="N44" s="19"/>
      <c r="O44" s="52"/>
      <c r="P44" s="19"/>
      <c r="Q44" s="52"/>
      <c r="R44" s="19"/>
      <c r="S44" s="83"/>
      <c r="T44" s="19"/>
      <c r="U44" s="96"/>
      <c r="V44" s="19"/>
      <c r="W44" s="95"/>
      <c r="X44" s="83"/>
      <c r="Y44" s="52"/>
      <c r="Z44" s="52"/>
      <c r="AA44" s="52"/>
      <c r="AB44" s="52"/>
      <c r="AC44" s="52"/>
    </row>
    <row r="45" spans="1:29" x14ac:dyDescent="0.25">
      <c r="A45" s="111" t="s">
        <v>79</v>
      </c>
      <c r="B45" s="109" t="s">
        <v>127</v>
      </c>
      <c r="C45" s="103" t="s">
        <v>273</v>
      </c>
      <c r="D45" s="53"/>
      <c r="E45" s="52" t="s">
        <v>300</v>
      </c>
      <c r="F45" s="103" t="s">
        <v>455</v>
      </c>
      <c r="G45" s="52" t="s">
        <v>458</v>
      </c>
      <c r="H45" s="52"/>
      <c r="I45" s="52"/>
      <c r="J45" s="52"/>
      <c r="K45" s="52"/>
      <c r="L45" s="19"/>
      <c r="M45" s="52"/>
      <c r="N45" s="19"/>
      <c r="O45" s="52"/>
      <c r="P45" s="19"/>
      <c r="Q45" s="52"/>
      <c r="R45" s="19"/>
      <c r="S45" s="83"/>
      <c r="T45" s="19"/>
      <c r="U45" s="96"/>
      <c r="V45" s="19"/>
      <c r="W45" s="96"/>
      <c r="X45" s="83"/>
      <c r="Y45" s="52"/>
      <c r="Z45" s="52"/>
      <c r="AA45" s="52"/>
      <c r="AB45" s="52"/>
      <c r="AC45" s="52"/>
    </row>
    <row r="46" spans="1:29" x14ac:dyDescent="0.25">
      <c r="A46" s="111" t="s">
        <v>80</v>
      </c>
      <c r="B46" s="109" t="s">
        <v>128</v>
      </c>
      <c r="C46" s="103" t="s">
        <v>244</v>
      </c>
      <c r="D46" s="53"/>
      <c r="E46" s="52" t="s">
        <v>300</v>
      </c>
      <c r="F46" s="103" t="s">
        <v>249</v>
      </c>
      <c r="G46" s="52"/>
      <c r="H46" s="52"/>
      <c r="I46" s="52"/>
      <c r="J46" s="52"/>
      <c r="K46" s="52"/>
      <c r="L46" s="19"/>
      <c r="M46" s="52"/>
      <c r="N46" s="19"/>
      <c r="O46" s="52"/>
      <c r="P46" s="19"/>
      <c r="Q46" s="52"/>
      <c r="R46" s="19"/>
      <c r="S46" s="83"/>
      <c r="T46" s="19"/>
      <c r="U46" s="94"/>
      <c r="V46" s="19"/>
      <c r="W46" s="96"/>
      <c r="X46" s="83"/>
      <c r="Y46" s="52"/>
      <c r="Z46" s="52"/>
      <c r="AA46" s="52"/>
      <c r="AB46" s="52"/>
      <c r="AC46" s="52"/>
    </row>
    <row r="47" spans="1:29" x14ac:dyDescent="0.25">
      <c r="A47" s="111" t="s">
        <v>81</v>
      </c>
      <c r="B47" s="109" t="s">
        <v>129</v>
      </c>
      <c r="C47" s="103" t="s">
        <v>273</v>
      </c>
      <c r="D47" s="53"/>
      <c r="E47" s="52" t="s">
        <v>300</v>
      </c>
      <c r="F47" s="103" t="s">
        <v>249</v>
      </c>
      <c r="G47" s="52"/>
      <c r="H47" s="52"/>
      <c r="I47" s="52"/>
      <c r="J47" s="52"/>
      <c r="K47" s="52"/>
      <c r="L47" s="19"/>
      <c r="M47" s="52"/>
      <c r="N47" s="19"/>
      <c r="O47" s="52"/>
      <c r="P47" s="19"/>
      <c r="Q47" s="52"/>
      <c r="R47" s="19"/>
      <c r="S47" s="52"/>
      <c r="T47" s="19"/>
      <c r="U47" s="84"/>
      <c r="V47" s="19"/>
      <c r="W47" s="56"/>
      <c r="X47" s="52"/>
      <c r="Y47" s="52"/>
      <c r="Z47" s="52"/>
      <c r="AA47" s="52"/>
      <c r="AB47" s="52"/>
      <c r="AC47" s="52"/>
    </row>
    <row r="48" spans="1:29" x14ac:dyDescent="0.25">
      <c r="A48" s="111" t="s">
        <v>82</v>
      </c>
      <c r="B48" s="109" t="s">
        <v>130</v>
      </c>
      <c r="C48" s="103" t="s">
        <v>273</v>
      </c>
      <c r="D48" s="57"/>
      <c r="E48" s="52" t="s">
        <v>300</v>
      </c>
      <c r="F48" s="103" t="s">
        <v>249</v>
      </c>
      <c r="G48" s="52"/>
      <c r="H48" s="52"/>
      <c r="I48" s="52"/>
      <c r="J48" s="52"/>
      <c r="K48" s="52"/>
      <c r="L48" s="19"/>
      <c r="M48" s="52"/>
      <c r="N48" s="19"/>
      <c r="O48" s="52"/>
      <c r="P48" s="19"/>
      <c r="Q48" s="52"/>
      <c r="R48" s="19"/>
      <c r="S48" s="52"/>
      <c r="T48" s="19"/>
      <c r="U48" s="56"/>
      <c r="V48" s="19"/>
      <c r="W48" s="56"/>
      <c r="X48" s="52"/>
      <c r="Y48" s="52"/>
      <c r="Z48" s="52"/>
      <c r="AA48" s="52"/>
      <c r="AB48" s="52"/>
      <c r="AC48" s="52"/>
    </row>
    <row r="49" spans="1:29" x14ac:dyDescent="0.25">
      <c r="A49" s="111" t="s">
        <v>83</v>
      </c>
      <c r="B49" s="109" t="s">
        <v>131</v>
      </c>
      <c r="C49" s="103" t="s">
        <v>273</v>
      </c>
      <c r="D49" s="53"/>
      <c r="E49" s="52" t="s">
        <v>300</v>
      </c>
      <c r="F49" s="103" t="s">
        <v>249</v>
      </c>
      <c r="G49" s="52"/>
      <c r="H49" s="52"/>
      <c r="I49" s="52"/>
      <c r="J49" s="52"/>
      <c r="K49" s="52"/>
      <c r="L49" s="19"/>
      <c r="M49" s="52"/>
      <c r="N49" s="19"/>
      <c r="O49" s="52"/>
      <c r="P49" s="19"/>
      <c r="Q49" s="52"/>
      <c r="R49" s="19"/>
      <c r="S49" s="52"/>
      <c r="T49" s="19"/>
      <c r="U49" s="84"/>
      <c r="V49" s="19"/>
      <c r="W49" s="84"/>
      <c r="X49" s="52"/>
      <c r="Y49" s="52"/>
      <c r="Z49" s="52"/>
      <c r="AA49" s="52"/>
      <c r="AB49" s="52"/>
      <c r="AC49" s="52"/>
    </row>
    <row r="50" spans="1:29" x14ac:dyDescent="0.25">
      <c r="A50" s="111" t="s">
        <v>84</v>
      </c>
      <c r="B50" s="109" t="s">
        <v>132</v>
      </c>
      <c r="C50" s="103" t="s">
        <v>273</v>
      </c>
      <c r="D50" s="54"/>
      <c r="E50" s="52" t="s">
        <v>300</v>
      </c>
      <c r="F50" s="103" t="s">
        <v>454</v>
      </c>
      <c r="G50" s="52" t="s">
        <v>458</v>
      </c>
      <c r="H50" s="52"/>
      <c r="I50" s="52"/>
      <c r="J50" s="52"/>
      <c r="K50" s="52"/>
      <c r="L50" s="19"/>
      <c r="M50" s="52"/>
      <c r="N50" s="19"/>
      <c r="O50" s="52"/>
      <c r="P50" s="19"/>
      <c r="Q50" s="52"/>
      <c r="R50" s="19"/>
      <c r="S50" s="52"/>
      <c r="T50" s="19"/>
      <c r="U50" s="56"/>
      <c r="V50" s="19"/>
      <c r="W50" s="84"/>
      <c r="X50" s="52"/>
      <c r="Y50" s="52"/>
      <c r="Z50" s="52"/>
      <c r="AA50" s="52"/>
      <c r="AB50" s="52"/>
      <c r="AC50" s="52"/>
    </row>
    <row r="51" spans="1:29" x14ac:dyDescent="0.25">
      <c r="A51" s="111" t="s">
        <v>215</v>
      </c>
      <c r="B51" s="109" t="s">
        <v>216</v>
      </c>
      <c r="C51" s="103" t="s">
        <v>272</v>
      </c>
      <c r="D51" s="57"/>
      <c r="E51" s="52" t="s">
        <v>300</v>
      </c>
      <c r="F51" s="103" t="s">
        <v>454</v>
      </c>
      <c r="G51" s="52" t="s">
        <v>458</v>
      </c>
      <c r="H51" s="52"/>
      <c r="I51" s="52"/>
      <c r="J51" s="52"/>
      <c r="K51" s="82"/>
      <c r="L51" s="19"/>
      <c r="M51" s="52"/>
      <c r="N51" s="19"/>
      <c r="O51" s="52"/>
      <c r="P51" s="19"/>
      <c r="Q51" s="52"/>
      <c r="R51" s="19"/>
      <c r="S51" s="52"/>
      <c r="T51" s="19"/>
      <c r="U51" s="84"/>
      <c r="V51" s="19"/>
      <c r="W51" s="84"/>
      <c r="X51" s="52"/>
      <c r="Y51" s="52"/>
      <c r="Z51" s="52"/>
      <c r="AA51" s="52"/>
      <c r="AB51" s="52"/>
      <c r="AC51" s="52"/>
    </row>
    <row r="52" spans="1:29" x14ac:dyDescent="0.25">
      <c r="A52" s="111" t="s">
        <v>242</v>
      </c>
      <c r="B52" s="109" t="s">
        <v>313</v>
      </c>
      <c r="C52" s="103" t="s">
        <v>273</v>
      </c>
      <c r="D52" s="53"/>
      <c r="E52" s="52" t="s">
        <v>300</v>
      </c>
      <c r="F52" s="103" t="s">
        <v>303</v>
      </c>
      <c r="G52" s="52" t="s">
        <v>458</v>
      </c>
      <c r="H52" s="52"/>
      <c r="I52" s="52"/>
      <c r="J52" s="52"/>
      <c r="K52" s="52"/>
      <c r="L52" s="19"/>
      <c r="M52" s="52"/>
      <c r="N52" s="19"/>
      <c r="O52" s="52"/>
      <c r="P52" s="19"/>
      <c r="Q52" s="52"/>
      <c r="R52" s="19"/>
      <c r="S52" s="52"/>
      <c r="T52" s="19"/>
      <c r="U52" s="56"/>
      <c r="V52" s="19"/>
      <c r="W52" s="84"/>
      <c r="X52" s="52"/>
      <c r="Y52" s="52"/>
      <c r="Z52" s="52"/>
      <c r="AA52" s="52"/>
      <c r="AB52" s="52"/>
      <c r="AC52" s="52"/>
    </row>
    <row r="53" spans="1:29" x14ac:dyDescent="0.25">
      <c r="A53" s="111" t="s">
        <v>86</v>
      </c>
      <c r="B53" s="109" t="s">
        <v>135</v>
      </c>
      <c r="C53" s="103" t="s">
        <v>244</v>
      </c>
      <c r="D53" s="53"/>
      <c r="E53" s="52" t="s">
        <v>300</v>
      </c>
      <c r="F53" s="103" t="s">
        <v>303</v>
      </c>
      <c r="G53" s="52"/>
      <c r="H53" s="52"/>
      <c r="I53" s="52"/>
      <c r="J53" s="52"/>
      <c r="K53" s="52"/>
      <c r="L53" s="19"/>
      <c r="M53" s="52"/>
      <c r="N53" s="19"/>
      <c r="O53" s="52"/>
      <c r="P53" s="19"/>
      <c r="Q53" s="52"/>
      <c r="R53" s="19"/>
      <c r="S53" s="52"/>
      <c r="T53" s="19"/>
      <c r="U53" s="56"/>
      <c r="V53" s="19"/>
      <c r="W53" s="56"/>
      <c r="X53" s="52"/>
      <c r="Y53" s="52"/>
      <c r="Z53" s="52"/>
      <c r="AA53" s="52"/>
      <c r="AB53" s="52"/>
      <c r="AC53" s="52"/>
    </row>
    <row r="54" spans="1:29" x14ac:dyDescent="0.25">
      <c r="A54" s="111" t="s">
        <v>87</v>
      </c>
      <c r="B54" s="109" t="s">
        <v>134</v>
      </c>
      <c r="C54" s="103" t="s">
        <v>244</v>
      </c>
      <c r="D54" s="54"/>
      <c r="E54" s="52" t="s">
        <v>300</v>
      </c>
      <c r="F54" s="103" t="s">
        <v>303</v>
      </c>
      <c r="G54" s="52"/>
      <c r="H54" s="52"/>
      <c r="I54" s="52"/>
      <c r="J54" s="52"/>
      <c r="K54" s="52"/>
      <c r="L54" s="19"/>
      <c r="M54" s="52"/>
      <c r="N54" s="19"/>
      <c r="O54" s="52"/>
      <c r="P54" s="19"/>
      <c r="Q54" s="52"/>
      <c r="R54" s="19"/>
      <c r="S54" s="52"/>
      <c r="T54" s="19"/>
      <c r="U54" s="84"/>
      <c r="V54" s="19"/>
      <c r="W54" s="84"/>
      <c r="X54" s="52"/>
      <c r="Y54" s="52"/>
      <c r="Z54" s="52"/>
      <c r="AA54" s="52"/>
      <c r="AB54" s="52"/>
      <c r="AC54" s="52"/>
    </row>
    <row r="55" spans="1:29" x14ac:dyDescent="0.25">
      <c r="A55" s="111" t="s">
        <v>88</v>
      </c>
      <c r="B55" s="109" t="s">
        <v>136</v>
      </c>
      <c r="C55" s="103" t="s">
        <v>244</v>
      </c>
      <c r="D55" s="53"/>
      <c r="E55" s="52" t="s">
        <v>300</v>
      </c>
      <c r="F55" s="103" t="s">
        <v>303</v>
      </c>
      <c r="G55" s="52"/>
      <c r="H55" s="52"/>
      <c r="I55" s="52"/>
      <c r="J55" s="52"/>
      <c r="K55" s="52"/>
      <c r="L55" s="19"/>
      <c r="M55" s="52"/>
      <c r="N55" s="19"/>
      <c r="O55" s="52"/>
      <c r="P55" s="19"/>
      <c r="Q55" s="52"/>
      <c r="R55" s="19"/>
      <c r="S55" s="52"/>
      <c r="T55" s="19"/>
      <c r="U55" s="85"/>
      <c r="V55" s="19"/>
      <c r="W55" s="85"/>
      <c r="X55" s="52"/>
      <c r="Y55" s="52"/>
      <c r="Z55" s="52"/>
      <c r="AA55" s="52"/>
      <c r="AB55" s="52"/>
      <c r="AC55" s="52"/>
    </row>
    <row r="56" spans="1:29" x14ac:dyDescent="0.25">
      <c r="A56" s="111" t="s">
        <v>89</v>
      </c>
      <c r="B56" s="109" t="s">
        <v>137</v>
      </c>
      <c r="C56" s="103" t="s">
        <v>273</v>
      </c>
      <c r="D56" s="54"/>
      <c r="E56" s="52" t="s">
        <v>300</v>
      </c>
      <c r="F56" s="103" t="s">
        <v>303</v>
      </c>
      <c r="G56" s="52"/>
      <c r="H56" s="52"/>
      <c r="I56" s="52"/>
      <c r="J56" s="52"/>
      <c r="K56" s="52"/>
      <c r="L56" s="19"/>
      <c r="M56" s="52"/>
      <c r="N56" s="19"/>
      <c r="O56" s="52"/>
      <c r="P56" s="19"/>
      <c r="Q56" s="52"/>
      <c r="R56" s="19"/>
      <c r="S56" s="52"/>
      <c r="T56" s="19"/>
      <c r="U56" s="84"/>
      <c r="V56" s="19"/>
      <c r="W56" s="84"/>
      <c r="X56" s="52"/>
      <c r="Y56" s="52"/>
      <c r="Z56" s="52"/>
      <c r="AA56" s="52"/>
      <c r="AB56" s="52"/>
      <c r="AC56" s="52"/>
    </row>
    <row r="57" spans="1:29" x14ac:dyDescent="0.25">
      <c r="A57" s="111" t="s">
        <v>90</v>
      </c>
      <c r="B57" s="109" t="s">
        <v>172</v>
      </c>
      <c r="C57" s="103" t="s">
        <v>272</v>
      </c>
      <c r="D57" s="53"/>
      <c r="E57" s="52" t="s">
        <v>300</v>
      </c>
      <c r="F57" s="103" t="s">
        <v>454</v>
      </c>
      <c r="G57" s="52" t="s">
        <v>458</v>
      </c>
      <c r="H57" s="52"/>
      <c r="I57" s="52"/>
      <c r="J57" s="52"/>
      <c r="K57" s="52"/>
      <c r="L57" s="19"/>
      <c r="M57" s="52"/>
      <c r="N57" s="19"/>
      <c r="O57" s="52"/>
      <c r="P57" s="19"/>
      <c r="Q57" s="52"/>
      <c r="R57" s="19"/>
      <c r="S57" s="52"/>
      <c r="T57" s="19"/>
      <c r="U57" s="85"/>
      <c r="V57" s="19"/>
      <c r="W57" s="56"/>
      <c r="X57" s="52"/>
      <c r="Y57" s="52"/>
      <c r="Z57" s="52"/>
      <c r="AA57" s="52"/>
      <c r="AB57" s="52"/>
      <c r="AC57" s="52"/>
    </row>
    <row r="58" spans="1:29" x14ac:dyDescent="0.25">
      <c r="A58" s="111" t="s">
        <v>15</v>
      </c>
      <c r="B58" s="109" t="s">
        <v>138</v>
      </c>
      <c r="C58" s="103" t="s">
        <v>273</v>
      </c>
      <c r="D58" s="53"/>
      <c r="E58" s="52" t="s">
        <v>300</v>
      </c>
      <c r="F58" s="103" t="s">
        <v>249</v>
      </c>
      <c r="G58" s="52"/>
      <c r="H58" s="52"/>
      <c r="I58" s="52"/>
      <c r="J58" s="52"/>
      <c r="K58" s="52"/>
      <c r="L58" s="19"/>
      <c r="M58" s="52"/>
      <c r="N58" s="19"/>
      <c r="O58" s="52"/>
      <c r="P58" s="19"/>
      <c r="Q58" s="52"/>
      <c r="R58" s="19"/>
      <c r="S58" s="52"/>
      <c r="T58" s="19"/>
      <c r="U58" s="56"/>
      <c r="V58" s="19"/>
      <c r="W58" s="84"/>
      <c r="X58" s="52"/>
      <c r="Y58" s="52"/>
      <c r="Z58" s="52"/>
      <c r="AA58" s="52"/>
      <c r="AB58" s="52"/>
      <c r="AC58" s="52"/>
    </row>
    <row r="59" spans="1:29" x14ac:dyDescent="0.25">
      <c r="A59" s="111" t="s">
        <v>28</v>
      </c>
      <c r="B59" s="109" t="s">
        <v>139</v>
      </c>
      <c r="C59" s="103" t="s">
        <v>273</v>
      </c>
      <c r="D59" s="53" t="s">
        <v>310</v>
      </c>
      <c r="E59" s="52" t="s">
        <v>300</v>
      </c>
      <c r="F59" s="103" t="s">
        <v>455</v>
      </c>
      <c r="G59" s="52" t="s">
        <v>458</v>
      </c>
      <c r="H59" s="52"/>
      <c r="I59" s="52"/>
      <c r="J59" s="52"/>
      <c r="K59" s="52"/>
      <c r="L59" s="19"/>
      <c r="M59" s="52"/>
      <c r="N59" s="19"/>
      <c r="O59" s="52"/>
      <c r="P59" s="19"/>
      <c r="Q59" s="52"/>
      <c r="R59" s="19"/>
      <c r="S59" s="52"/>
      <c r="T59" s="19"/>
      <c r="U59" s="84"/>
      <c r="V59" s="19"/>
      <c r="W59" s="84"/>
      <c r="X59" s="52"/>
      <c r="Y59" s="52"/>
      <c r="Z59" s="52"/>
      <c r="AA59" s="52"/>
      <c r="AB59" s="52"/>
      <c r="AC59" s="52"/>
    </row>
    <row r="60" spans="1:29" x14ac:dyDescent="0.25">
      <c r="A60" s="111" t="s">
        <v>31</v>
      </c>
      <c r="B60" s="109" t="s">
        <v>140</v>
      </c>
      <c r="C60" s="103" t="s">
        <v>244</v>
      </c>
      <c r="D60" s="54"/>
      <c r="E60" s="52" t="s">
        <v>300</v>
      </c>
      <c r="F60" s="103" t="s">
        <v>249</v>
      </c>
      <c r="G60" s="52"/>
      <c r="H60" s="52"/>
      <c r="I60" s="52"/>
      <c r="J60" s="52"/>
      <c r="K60" s="52"/>
      <c r="L60" s="19"/>
      <c r="M60" s="52"/>
      <c r="N60" s="19"/>
      <c r="O60" s="52"/>
      <c r="P60" s="19"/>
      <c r="Q60" s="52"/>
      <c r="R60" s="19"/>
      <c r="S60" s="52"/>
      <c r="T60" s="19"/>
      <c r="U60" s="56"/>
      <c r="V60" s="19"/>
      <c r="W60" s="56"/>
      <c r="X60" s="52"/>
      <c r="Y60" s="52"/>
      <c r="Z60" s="52"/>
      <c r="AA60" s="52"/>
      <c r="AB60" s="52"/>
      <c r="AC60" s="52"/>
    </row>
    <row r="61" spans="1:29" x14ac:dyDescent="0.25">
      <c r="A61" s="111" t="s">
        <v>26</v>
      </c>
      <c r="B61" s="109" t="s">
        <v>141</v>
      </c>
      <c r="C61" s="103" t="s">
        <v>272</v>
      </c>
      <c r="D61" s="54"/>
      <c r="E61" s="52" t="s">
        <v>300</v>
      </c>
      <c r="F61" s="103" t="s">
        <v>454</v>
      </c>
      <c r="G61" s="52" t="s">
        <v>458</v>
      </c>
      <c r="H61" s="52"/>
      <c r="I61" s="52"/>
      <c r="J61" s="52"/>
      <c r="K61" s="52"/>
      <c r="L61" s="19"/>
      <c r="M61" s="52"/>
      <c r="N61" s="19"/>
      <c r="O61" s="52"/>
      <c r="P61" s="19"/>
      <c r="Q61" s="52"/>
      <c r="R61" s="19"/>
      <c r="S61" s="52"/>
      <c r="T61" s="19"/>
      <c r="U61" s="85"/>
      <c r="V61" s="19"/>
      <c r="W61" s="56"/>
      <c r="X61" s="52"/>
      <c r="Y61" s="52"/>
      <c r="Z61" s="52"/>
      <c r="AA61" s="52"/>
      <c r="AB61" s="52"/>
      <c r="AC61" s="52"/>
    </row>
    <row r="62" spans="1:29" x14ac:dyDescent="0.25">
      <c r="A62" s="111" t="s">
        <v>21</v>
      </c>
      <c r="B62" s="109" t="s">
        <v>142</v>
      </c>
      <c r="C62" s="103" t="s">
        <v>244</v>
      </c>
      <c r="D62" s="53"/>
      <c r="E62" s="52" t="s">
        <v>300</v>
      </c>
      <c r="F62" s="103" t="s">
        <v>249</v>
      </c>
      <c r="G62" s="52"/>
      <c r="H62" s="52"/>
      <c r="I62" s="52"/>
      <c r="J62" s="52"/>
      <c r="K62" s="52"/>
      <c r="L62" s="19"/>
      <c r="M62" s="52"/>
      <c r="N62" s="19"/>
      <c r="O62" s="52"/>
      <c r="P62" s="19"/>
      <c r="Q62" s="52"/>
      <c r="R62" s="19"/>
      <c r="S62" s="52"/>
      <c r="T62" s="19"/>
      <c r="U62" s="85"/>
      <c r="V62" s="19"/>
      <c r="W62" s="85"/>
      <c r="X62" s="52"/>
      <c r="Y62" s="52"/>
      <c r="Z62" s="52"/>
      <c r="AA62" s="52"/>
      <c r="AB62" s="52"/>
      <c r="AC62" s="52"/>
    </row>
    <row r="63" spans="1:29" x14ac:dyDescent="0.25">
      <c r="A63" s="111" t="s">
        <v>23</v>
      </c>
      <c r="B63" s="109" t="s">
        <v>143</v>
      </c>
      <c r="C63" s="103" t="s">
        <v>244</v>
      </c>
      <c r="D63" s="53"/>
      <c r="E63" s="52" t="s">
        <v>300</v>
      </c>
      <c r="F63" s="103" t="s">
        <v>249</v>
      </c>
      <c r="G63" s="52"/>
      <c r="H63" s="52"/>
      <c r="I63" s="52"/>
      <c r="J63" s="52"/>
      <c r="K63" s="52"/>
      <c r="L63" s="19"/>
      <c r="M63" s="52"/>
      <c r="N63" s="19"/>
      <c r="O63" s="52"/>
      <c r="P63" s="19"/>
      <c r="Q63" s="52"/>
      <c r="R63" s="19"/>
      <c r="S63" s="52"/>
      <c r="T63" s="19"/>
      <c r="U63" s="85"/>
      <c r="V63" s="19"/>
      <c r="W63" s="56"/>
      <c r="X63" s="52"/>
      <c r="Y63" s="52"/>
      <c r="Z63" s="52"/>
      <c r="AA63" s="52"/>
      <c r="AB63" s="52"/>
      <c r="AC63" s="52"/>
    </row>
    <row r="64" spans="1:29" x14ac:dyDescent="0.25">
      <c r="A64" s="111" t="s">
        <v>35</v>
      </c>
      <c r="B64" s="109" t="s">
        <v>144</v>
      </c>
      <c r="C64" s="103" t="s">
        <v>244</v>
      </c>
      <c r="D64" s="54"/>
      <c r="E64" s="52" t="s">
        <v>300</v>
      </c>
      <c r="F64" s="103" t="s">
        <v>454</v>
      </c>
      <c r="G64" s="52" t="s">
        <v>458</v>
      </c>
      <c r="H64" s="52"/>
      <c r="I64" s="52"/>
      <c r="J64" s="52"/>
      <c r="K64" s="52"/>
      <c r="L64" s="19"/>
      <c r="M64" s="52"/>
      <c r="N64" s="19"/>
      <c r="O64" s="52"/>
      <c r="P64" s="19"/>
      <c r="Q64" s="52"/>
      <c r="R64" s="19"/>
      <c r="S64" s="52"/>
      <c r="T64" s="19"/>
      <c r="U64" s="84"/>
      <c r="V64" s="19"/>
      <c r="W64" s="84"/>
      <c r="X64" s="52"/>
      <c r="Y64" s="52"/>
      <c r="Z64" s="52"/>
      <c r="AA64" s="52"/>
      <c r="AB64" s="52"/>
      <c r="AC64" s="52"/>
    </row>
    <row r="65" spans="1:29" x14ac:dyDescent="0.25">
      <c r="A65" s="111" t="s">
        <v>34</v>
      </c>
      <c r="B65" s="109" t="s">
        <v>145</v>
      </c>
      <c r="C65" s="103" t="s">
        <v>272</v>
      </c>
      <c r="D65" s="57" t="s">
        <v>312</v>
      </c>
      <c r="E65" s="52" t="s">
        <v>300</v>
      </c>
      <c r="F65" s="103" t="s">
        <v>249</v>
      </c>
      <c r="G65" s="52"/>
      <c r="H65" s="52"/>
      <c r="I65" s="52"/>
      <c r="J65" s="52"/>
      <c r="K65" s="52"/>
      <c r="L65" s="19"/>
      <c r="M65" s="52"/>
      <c r="N65" s="19"/>
      <c r="O65" s="52"/>
      <c r="P65" s="19"/>
      <c r="Q65" s="52"/>
      <c r="R65" s="19"/>
      <c r="S65" s="52"/>
      <c r="T65" s="19"/>
      <c r="U65" s="85"/>
      <c r="V65" s="19"/>
      <c r="W65" s="85"/>
      <c r="X65" s="52"/>
      <c r="Y65" s="52"/>
      <c r="Z65" s="52"/>
      <c r="AA65" s="52"/>
      <c r="AB65" s="52"/>
      <c r="AC65" s="52"/>
    </row>
    <row r="66" spans="1:29" x14ac:dyDescent="0.25">
      <c r="A66" s="111" t="s">
        <v>14</v>
      </c>
      <c r="B66" s="109" t="s">
        <v>146</v>
      </c>
      <c r="C66" s="103" t="s">
        <v>273</v>
      </c>
      <c r="D66" s="53"/>
      <c r="E66" s="52" t="s">
        <v>300</v>
      </c>
      <c r="F66" s="103" t="s">
        <v>454</v>
      </c>
      <c r="G66" s="52" t="s">
        <v>300</v>
      </c>
      <c r="H66" s="52"/>
      <c r="I66" s="52"/>
      <c r="J66" s="52"/>
      <c r="K66" s="52"/>
      <c r="L66" s="19"/>
      <c r="M66" s="52"/>
      <c r="N66" s="19"/>
      <c r="O66" s="52"/>
      <c r="P66" s="19"/>
      <c r="Q66" s="52"/>
      <c r="R66" s="19"/>
      <c r="S66" s="52"/>
      <c r="T66" s="19"/>
      <c r="U66" s="56"/>
      <c r="V66" s="19"/>
      <c r="W66" s="56"/>
      <c r="X66" s="52"/>
      <c r="Y66" s="52"/>
      <c r="Z66" s="52"/>
      <c r="AA66" s="52"/>
      <c r="AB66" s="52"/>
      <c r="AC66" s="52"/>
    </row>
    <row r="67" spans="1:29" x14ac:dyDescent="0.25">
      <c r="A67" s="111" t="s">
        <v>18</v>
      </c>
      <c r="B67" s="109" t="s">
        <v>147</v>
      </c>
      <c r="C67" s="103" t="s">
        <v>272</v>
      </c>
      <c r="D67" s="53"/>
      <c r="E67" s="52" t="s">
        <v>300</v>
      </c>
      <c r="F67" s="103" t="s">
        <v>249</v>
      </c>
      <c r="G67" s="52"/>
      <c r="H67" s="52"/>
      <c r="I67" s="52"/>
      <c r="J67" s="52"/>
      <c r="K67" s="52"/>
      <c r="L67" s="19"/>
      <c r="M67" s="52"/>
      <c r="N67" s="19"/>
      <c r="O67" s="52"/>
      <c r="P67" s="19"/>
      <c r="Q67" s="52"/>
      <c r="R67" s="19"/>
      <c r="S67" s="52"/>
      <c r="T67" s="19"/>
      <c r="U67" s="84"/>
      <c r="V67" s="19"/>
      <c r="W67" s="84"/>
      <c r="X67" s="52"/>
      <c r="Y67" s="52"/>
      <c r="Z67" s="52"/>
      <c r="AA67" s="52"/>
      <c r="AB67" s="52"/>
      <c r="AC67" s="52"/>
    </row>
    <row r="68" spans="1:29" x14ac:dyDescent="0.25">
      <c r="A68" s="111" t="s">
        <v>33</v>
      </c>
      <c r="B68" s="109" t="s">
        <v>148</v>
      </c>
      <c r="C68" s="103" t="s">
        <v>273</v>
      </c>
      <c r="D68" s="57"/>
      <c r="E68" s="52" t="s">
        <v>300</v>
      </c>
      <c r="F68" s="103" t="s">
        <v>454</v>
      </c>
      <c r="G68" s="52" t="s">
        <v>300</v>
      </c>
      <c r="H68" s="52"/>
      <c r="I68" s="52"/>
      <c r="J68" s="52"/>
      <c r="K68" s="52"/>
      <c r="L68" s="19"/>
      <c r="M68" s="52"/>
      <c r="N68" s="19"/>
      <c r="O68" s="52"/>
      <c r="P68" s="19"/>
      <c r="Q68" s="52"/>
      <c r="R68" s="19"/>
      <c r="S68" s="52"/>
      <c r="T68" s="19"/>
      <c r="U68" s="56"/>
      <c r="V68" s="19"/>
      <c r="W68" s="56"/>
      <c r="X68" s="52"/>
      <c r="Y68" s="52"/>
      <c r="Z68" s="52"/>
      <c r="AA68" s="52"/>
      <c r="AB68" s="52"/>
      <c r="AC68" s="52"/>
    </row>
    <row r="69" spans="1:29" x14ac:dyDescent="0.25">
      <c r="A69" s="111" t="s">
        <v>32</v>
      </c>
      <c r="B69" s="109" t="s">
        <v>311</v>
      </c>
      <c r="C69" s="103" t="s">
        <v>244</v>
      </c>
      <c r="D69" s="57"/>
      <c r="E69" s="52" t="s">
        <v>300</v>
      </c>
      <c r="F69" s="103" t="s">
        <v>249</v>
      </c>
      <c r="G69" s="52"/>
      <c r="H69" s="52"/>
      <c r="I69" s="52"/>
      <c r="J69" s="52"/>
      <c r="K69" s="52"/>
      <c r="L69" s="19"/>
      <c r="M69" s="52"/>
      <c r="N69" s="19"/>
      <c r="O69" s="52"/>
      <c r="P69" s="19"/>
      <c r="Q69" s="52"/>
      <c r="R69" s="19"/>
      <c r="S69" s="52"/>
      <c r="T69" s="19"/>
      <c r="U69" s="84"/>
      <c r="V69" s="19"/>
      <c r="W69" s="56"/>
      <c r="X69" s="52"/>
      <c r="Y69" s="52"/>
      <c r="Z69" s="52"/>
      <c r="AA69" s="52"/>
      <c r="AB69" s="52"/>
      <c r="AC69" s="52"/>
    </row>
    <row r="70" spans="1:29" x14ac:dyDescent="0.25">
      <c r="A70" s="111" t="s">
        <v>24</v>
      </c>
      <c r="B70" s="109" t="s">
        <v>149</v>
      </c>
      <c r="C70" s="103" t="s">
        <v>273</v>
      </c>
      <c r="D70" s="53" t="s">
        <v>310</v>
      </c>
      <c r="E70" s="52" t="s">
        <v>300</v>
      </c>
      <c r="F70" s="103" t="s">
        <v>249</v>
      </c>
      <c r="G70" s="52"/>
      <c r="H70" s="52"/>
      <c r="I70" s="52"/>
      <c r="J70" s="52"/>
      <c r="K70" s="52"/>
      <c r="L70" s="19"/>
      <c r="M70" s="52"/>
      <c r="N70" s="19"/>
      <c r="O70" s="52"/>
      <c r="P70" s="19"/>
      <c r="Q70" s="52"/>
      <c r="R70" s="19"/>
      <c r="S70" s="52"/>
      <c r="T70" s="19"/>
      <c r="U70" s="56"/>
      <c r="V70" s="19"/>
      <c r="W70" s="85"/>
      <c r="X70" s="52"/>
      <c r="Y70" s="52"/>
      <c r="Z70" s="52"/>
      <c r="AA70" s="52"/>
      <c r="AB70" s="52"/>
      <c r="AC70" s="52"/>
    </row>
    <row r="71" spans="1:29" x14ac:dyDescent="0.25">
      <c r="A71" s="111" t="s">
        <v>11</v>
      </c>
      <c r="B71" s="109" t="s">
        <v>150</v>
      </c>
      <c r="C71" s="103" t="s">
        <v>244</v>
      </c>
      <c r="D71" s="53"/>
      <c r="E71" s="52" t="s">
        <v>300</v>
      </c>
      <c r="F71" s="103" t="s">
        <v>244</v>
      </c>
      <c r="G71" s="52" t="s">
        <v>459</v>
      </c>
      <c r="H71" s="52"/>
      <c r="I71" s="52"/>
      <c r="J71" s="52"/>
      <c r="K71" s="82"/>
      <c r="L71" s="19"/>
      <c r="M71" s="52"/>
      <c r="N71" s="19"/>
      <c r="O71" s="52"/>
      <c r="P71" s="19"/>
      <c r="Q71" s="52"/>
      <c r="R71" s="19"/>
      <c r="S71" s="52"/>
      <c r="T71" s="19"/>
      <c r="U71" s="84"/>
      <c r="V71" s="19"/>
      <c r="W71" s="84"/>
      <c r="X71" s="52"/>
      <c r="Y71" s="52"/>
      <c r="Z71" s="52"/>
      <c r="AA71" s="52"/>
      <c r="AB71" s="52"/>
      <c r="AC71" s="52"/>
    </row>
    <row r="72" spans="1:29" x14ac:dyDescent="0.25">
      <c r="A72" s="111" t="s">
        <v>12</v>
      </c>
      <c r="B72" s="109" t="s">
        <v>151</v>
      </c>
      <c r="C72" s="103" t="s">
        <v>272</v>
      </c>
      <c r="D72" s="53"/>
      <c r="E72" s="52" t="s">
        <v>300</v>
      </c>
      <c r="F72" s="103" t="s">
        <v>244</v>
      </c>
      <c r="G72" s="52" t="s">
        <v>459</v>
      </c>
      <c r="H72" s="52"/>
      <c r="I72" s="52"/>
      <c r="J72" s="52"/>
      <c r="K72" s="52"/>
      <c r="L72" s="19"/>
      <c r="M72" s="52"/>
      <c r="N72" s="19"/>
      <c r="O72" s="52"/>
      <c r="P72" s="19"/>
      <c r="Q72" s="52"/>
      <c r="R72" s="19"/>
      <c r="S72" s="52"/>
      <c r="T72" s="19"/>
      <c r="U72" s="85"/>
      <c r="V72" s="19"/>
      <c r="W72" s="85"/>
      <c r="X72" s="52"/>
      <c r="Y72" s="52"/>
      <c r="Z72" s="52"/>
      <c r="AA72" s="52"/>
      <c r="AB72" s="52"/>
      <c r="AC72" s="52"/>
    </row>
    <row r="73" spans="1:29" x14ac:dyDescent="0.25">
      <c r="A73" s="111" t="s">
        <v>30</v>
      </c>
      <c r="B73" s="109" t="s">
        <v>152</v>
      </c>
      <c r="C73" s="103" t="s">
        <v>273</v>
      </c>
      <c r="D73" s="54"/>
      <c r="E73" s="52" t="s">
        <v>300</v>
      </c>
      <c r="F73" s="103" t="s">
        <v>249</v>
      </c>
      <c r="G73" s="52"/>
      <c r="H73" s="52"/>
      <c r="I73" s="52"/>
      <c r="J73" s="52"/>
      <c r="K73" s="52"/>
      <c r="L73" s="19"/>
      <c r="M73" s="52"/>
      <c r="N73" s="19"/>
      <c r="O73" s="52"/>
      <c r="P73" s="19"/>
      <c r="Q73" s="52"/>
      <c r="R73" s="19"/>
      <c r="S73" s="52"/>
      <c r="T73" s="19"/>
      <c r="U73" s="85"/>
      <c r="V73" s="19"/>
      <c r="W73" s="85"/>
      <c r="X73" s="52"/>
      <c r="Y73" s="52"/>
      <c r="Z73" s="52"/>
      <c r="AA73" s="52"/>
      <c r="AB73" s="52"/>
      <c r="AC73" s="52"/>
    </row>
    <row r="74" spans="1:29" x14ac:dyDescent="0.25">
      <c r="A74" s="111" t="s">
        <v>25</v>
      </c>
      <c r="B74" s="109" t="s">
        <v>153</v>
      </c>
      <c r="C74" s="103" t="s">
        <v>272</v>
      </c>
      <c r="D74" s="54"/>
      <c r="E74" s="52" t="s">
        <v>300</v>
      </c>
      <c r="F74" s="103" t="s">
        <v>249</v>
      </c>
      <c r="G74" s="52"/>
      <c r="H74" s="52"/>
      <c r="I74" s="52"/>
      <c r="J74" s="52"/>
      <c r="K74" s="52"/>
      <c r="L74" s="19"/>
      <c r="M74" s="52"/>
      <c r="N74" s="19"/>
      <c r="O74" s="52"/>
      <c r="P74" s="19"/>
      <c r="Q74" s="52"/>
      <c r="R74" s="19"/>
      <c r="S74" s="52"/>
      <c r="T74" s="19"/>
      <c r="U74" s="56"/>
      <c r="V74" s="19"/>
      <c r="W74" s="56"/>
      <c r="X74" s="52"/>
      <c r="Y74" s="52"/>
      <c r="Z74" s="52"/>
      <c r="AA74" s="52"/>
      <c r="AB74" s="52"/>
      <c r="AC74" s="52"/>
    </row>
    <row r="75" spans="1:29" x14ac:dyDescent="0.25">
      <c r="A75" s="111" t="s">
        <v>16</v>
      </c>
      <c r="B75" s="109" t="s">
        <v>154</v>
      </c>
      <c r="C75" s="103" t="s">
        <v>244</v>
      </c>
      <c r="D75" s="54"/>
      <c r="E75" s="52" t="s">
        <v>300</v>
      </c>
      <c r="F75" s="103" t="s">
        <v>454</v>
      </c>
      <c r="G75" s="52" t="s">
        <v>300</v>
      </c>
      <c r="H75" s="52"/>
      <c r="I75" s="52"/>
      <c r="J75" s="52"/>
      <c r="K75" s="52"/>
      <c r="L75" s="19"/>
      <c r="M75" s="52"/>
      <c r="N75" s="19"/>
      <c r="O75" s="52"/>
      <c r="P75" s="19"/>
      <c r="Q75" s="52"/>
      <c r="R75" s="19"/>
      <c r="S75" s="52"/>
      <c r="T75" s="19"/>
      <c r="U75" s="56"/>
      <c r="V75" s="19"/>
      <c r="W75" s="56"/>
      <c r="X75" s="52"/>
      <c r="Y75" s="52"/>
      <c r="Z75" s="52"/>
      <c r="AA75" s="52"/>
      <c r="AB75" s="52"/>
      <c r="AC75" s="52"/>
    </row>
    <row r="76" spans="1:29" x14ac:dyDescent="0.25">
      <c r="A76" s="111" t="s">
        <v>217</v>
      </c>
      <c r="B76" s="109" t="s">
        <v>218</v>
      </c>
      <c r="C76" s="103" t="s">
        <v>273</v>
      </c>
      <c r="D76" s="53"/>
      <c r="E76" s="52" t="s">
        <v>300</v>
      </c>
      <c r="F76" s="103" t="s">
        <v>249</v>
      </c>
      <c r="G76" s="52"/>
      <c r="H76" s="52"/>
      <c r="I76" s="52"/>
      <c r="J76" s="52"/>
      <c r="K76" s="52"/>
      <c r="L76" s="19"/>
      <c r="M76" s="52"/>
      <c r="N76" s="19"/>
      <c r="O76" s="52"/>
      <c r="P76" s="19"/>
      <c r="Q76" s="52"/>
      <c r="R76" s="19"/>
      <c r="S76" s="52"/>
      <c r="T76" s="19"/>
      <c r="U76" s="85"/>
      <c r="V76" s="19"/>
      <c r="W76" s="85"/>
      <c r="X76" s="52"/>
      <c r="Y76" s="52"/>
      <c r="Z76" s="52"/>
      <c r="AA76" s="52"/>
      <c r="AB76" s="52"/>
      <c r="AC76" s="52"/>
    </row>
    <row r="77" spans="1:29" x14ac:dyDescent="0.25">
      <c r="A77" s="111" t="s">
        <v>13</v>
      </c>
      <c r="B77" s="109" t="s">
        <v>155</v>
      </c>
      <c r="C77" s="103" t="s">
        <v>249</v>
      </c>
      <c r="D77" s="53"/>
      <c r="E77" s="52" t="s">
        <v>300</v>
      </c>
      <c r="F77" s="103" t="s">
        <v>249</v>
      </c>
      <c r="G77" s="52"/>
      <c r="H77" s="52"/>
      <c r="I77" s="52"/>
      <c r="J77" s="52"/>
      <c r="K77" s="52"/>
      <c r="L77" s="19"/>
      <c r="M77" s="52"/>
      <c r="N77" s="19"/>
      <c r="O77" s="52"/>
      <c r="P77" s="19"/>
      <c r="Q77" s="52"/>
      <c r="R77" s="19"/>
      <c r="S77" s="52"/>
      <c r="T77" s="19"/>
      <c r="U77" s="56"/>
      <c r="V77" s="19"/>
      <c r="W77" s="85"/>
      <c r="X77" s="52"/>
      <c r="Y77" s="52"/>
      <c r="Z77" s="52"/>
      <c r="AA77" s="52"/>
      <c r="AB77" s="52"/>
      <c r="AC77" s="52"/>
    </row>
    <row r="78" spans="1:29" x14ac:dyDescent="0.25">
      <c r="A78" s="111" t="s">
        <v>343</v>
      </c>
      <c r="B78" s="109" t="s">
        <v>344</v>
      </c>
      <c r="C78" s="103" t="s">
        <v>272</v>
      </c>
      <c r="D78" s="53"/>
      <c r="E78" s="52" t="s">
        <v>300</v>
      </c>
      <c r="F78" s="103" t="s">
        <v>454</v>
      </c>
      <c r="G78" s="52" t="s">
        <v>458</v>
      </c>
      <c r="H78" s="52"/>
      <c r="I78" s="52"/>
      <c r="J78" s="52"/>
      <c r="K78" s="52"/>
      <c r="L78" s="19"/>
      <c r="M78" s="52"/>
      <c r="N78" s="19"/>
      <c r="O78" s="52"/>
      <c r="P78" s="19"/>
      <c r="Q78" s="52"/>
      <c r="R78" s="19"/>
      <c r="S78" s="52"/>
      <c r="T78" s="19"/>
      <c r="U78" s="84"/>
      <c r="V78" s="19"/>
      <c r="W78" s="84"/>
      <c r="X78" s="52"/>
      <c r="Y78" s="52"/>
      <c r="Z78" s="52"/>
      <c r="AA78" s="52"/>
      <c r="AB78" s="52"/>
      <c r="AC78" s="52"/>
    </row>
    <row r="79" spans="1:29" x14ac:dyDescent="0.25">
      <c r="A79" s="111" t="s">
        <v>20</v>
      </c>
      <c r="B79" s="109" t="s">
        <v>156</v>
      </c>
      <c r="C79" s="103" t="s">
        <v>244</v>
      </c>
      <c r="D79" s="53"/>
      <c r="E79" s="52" t="s">
        <v>300</v>
      </c>
      <c r="F79" s="103" t="s">
        <v>249</v>
      </c>
      <c r="G79" s="52"/>
      <c r="H79" s="52"/>
      <c r="I79" s="52"/>
      <c r="J79" s="52"/>
      <c r="K79" s="52"/>
      <c r="L79" s="19"/>
      <c r="M79" s="52"/>
      <c r="N79" s="19"/>
      <c r="O79" s="52"/>
      <c r="P79" s="19"/>
      <c r="Q79" s="52"/>
      <c r="R79" s="19"/>
      <c r="S79" s="52"/>
      <c r="T79" s="19"/>
      <c r="U79" s="84"/>
      <c r="V79" s="19"/>
      <c r="W79" s="56"/>
      <c r="X79" s="52"/>
      <c r="Y79" s="52"/>
      <c r="Z79" s="52"/>
      <c r="AA79" s="52"/>
      <c r="AB79" s="52"/>
      <c r="AC79" s="52"/>
    </row>
    <row r="80" spans="1:29" x14ac:dyDescent="0.25">
      <c r="A80" s="111" t="s">
        <v>230</v>
      </c>
      <c r="B80" s="109" t="s">
        <v>307</v>
      </c>
      <c r="C80" s="103" t="s">
        <v>244</v>
      </c>
      <c r="D80" s="53"/>
      <c r="E80" s="52" t="s">
        <v>300</v>
      </c>
      <c r="F80" s="103" t="s">
        <v>454</v>
      </c>
      <c r="G80" s="52" t="s">
        <v>459</v>
      </c>
      <c r="H80" s="52"/>
      <c r="I80" s="52"/>
      <c r="J80" s="52"/>
      <c r="K80" s="52"/>
      <c r="L80" s="19"/>
      <c r="M80" s="52"/>
      <c r="N80" s="19"/>
      <c r="O80" s="52"/>
      <c r="P80" s="19"/>
      <c r="Q80" s="52"/>
      <c r="R80" s="19"/>
      <c r="S80" s="52"/>
      <c r="T80" s="19"/>
      <c r="U80" s="85"/>
      <c r="V80" s="19"/>
      <c r="W80" s="85"/>
      <c r="X80" s="52"/>
      <c r="Y80" s="52"/>
      <c r="Z80" s="52"/>
      <c r="AA80" s="52"/>
      <c r="AB80" s="52"/>
      <c r="AC80" s="52"/>
    </row>
    <row r="81" spans="1:29" x14ac:dyDescent="0.25">
      <c r="A81" s="111" t="s">
        <v>17</v>
      </c>
      <c r="B81" s="109" t="s">
        <v>306</v>
      </c>
      <c r="C81" s="103" t="s">
        <v>273</v>
      </c>
      <c r="D81" s="53" t="s">
        <v>305</v>
      </c>
      <c r="E81" s="52" t="s">
        <v>300</v>
      </c>
      <c r="F81" s="103" t="s">
        <v>249</v>
      </c>
      <c r="G81" s="52"/>
      <c r="H81" s="52"/>
      <c r="I81" s="52"/>
      <c r="J81" s="52"/>
      <c r="K81" s="52"/>
      <c r="L81" s="19"/>
      <c r="M81" s="52"/>
      <c r="N81" s="19"/>
      <c r="O81" s="52"/>
      <c r="P81" s="19"/>
      <c r="Q81" s="52"/>
      <c r="R81" s="19"/>
      <c r="S81" s="52"/>
      <c r="T81" s="19"/>
      <c r="U81" s="85"/>
      <c r="V81" s="19"/>
      <c r="W81" s="85"/>
      <c r="X81" s="52"/>
      <c r="Y81" s="52"/>
      <c r="Z81" s="52"/>
      <c r="AA81" s="52"/>
      <c r="AB81" s="52"/>
      <c r="AC81" s="52"/>
    </row>
    <row r="82" spans="1:29" x14ac:dyDescent="0.25">
      <c r="A82" s="111" t="s">
        <v>382</v>
      </c>
      <c r="B82" s="109" t="s">
        <v>379</v>
      </c>
      <c r="C82" s="103" t="s">
        <v>273</v>
      </c>
      <c r="D82" s="53"/>
      <c r="E82" s="52" t="s">
        <v>300</v>
      </c>
      <c r="F82" s="103" t="s">
        <v>454</v>
      </c>
      <c r="G82" s="52" t="s">
        <v>458</v>
      </c>
      <c r="H82" s="52"/>
      <c r="I82" s="52"/>
      <c r="J82" s="52"/>
      <c r="K82" s="52"/>
      <c r="L82" s="19"/>
      <c r="M82" s="19"/>
      <c r="N82" s="19"/>
      <c r="O82" s="52"/>
      <c r="P82" s="19"/>
      <c r="Q82" s="52"/>
      <c r="R82" s="19"/>
      <c r="S82" s="52"/>
      <c r="T82" s="19"/>
      <c r="U82" s="84"/>
      <c r="V82" s="19"/>
      <c r="W82" s="84"/>
      <c r="X82" s="52"/>
      <c r="Y82" s="52"/>
      <c r="Z82" s="52"/>
      <c r="AA82" s="52"/>
      <c r="AB82" s="52"/>
      <c r="AC82" s="52"/>
    </row>
    <row r="83" spans="1:29" x14ac:dyDescent="0.25">
      <c r="A83" s="111" t="s">
        <v>208</v>
      </c>
      <c r="B83" s="109" t="s">
        <v>209</v>
      </c>
      <c r="C83" s="103" t="s">
        <v>244</v>
      </c>
      <c r="D83" s="53"/>
      <c r="E83" s="52" t="s">
        <v>300</v>
      </c>
      <c r="F83" s="103" t="s">
        <v>249</v>
      </c>
      <c r="G83" s="52"/>
      <c r="H83" s="52"/>
      <c r="I83" s="52"/>
      <c r="J83" s="52"/>
      <c r="K83" s="52"/>
      <c r="L83" s="19"/>
      <c r="M83" s="19"/>
      <c r="N83" s="19"/>
      <c r="O83" s="52"/>
      <c r="P83" s="19"/>
      <c r="Q83" s="52"/>
      <c r="R83" s="19"/>
      <c r="S83" s="52"/>
      <c r="T83" s="19"/>
      <c r="U83" s="84"/>
      <c r="V83" s="19"/>
      <c r="W83" s="84"/>
      <c r="X83" s="52"/>
      <c r="Y83" s="52"/>
      <c r="Z83" s="52"/>
      <c r="AA83" s="52"/>
      <c r="AB83" s="52"/>
      <c r="AC83" s="52"/>
    </row>
    <row r="84" spans="1:29" x14ac:dyDescent="0.25">
      <c r="A84" s="111" t="s">
        <v>200</v>
      </c>
      <c r="B84" s="109" t="s">
        <v>201</v>
      </c>
      <c r="C84" s="103" t="s">
        <v>272</v>
      </c>
      <c r="D84" s="53"/>
      <c r="E84" s="52" t="s">
        <v>300</v>
      </c>
      <c r="F84" s="103" t="s">
        <v>249</v>
      </c>
      <c r="G84" s="52"/>
      <c r="H84" s="52"/>
      <c r="I84" s="52"/>
      <c r="J84" s="52"/>
      <c r="K84" s="52"/>
      <c r="L84" s="19"/>
      <c r="M84" s="52"/>
      <c r="N84" s="19"/>
      <c r="O84" s="52"/>
      <c r="P84" s="19"/>
      <c r="Q84" s="52"/>
      <c r="R84" s="19"/>
      <c r="S84" s="52"/>
      <c r="T84" s="19"/>
      <c r="U84" s="56"/>
      <c r="V84" s="19"/>
      <c r="W84" s="56"/>
      <c r="X84" s="52"/>
      <c r="Y84" s="52"/>
      <c r="Z84" s="52"/>
      <c r="AA84" s="52"/>
      <c r="AB84" s="52"/>
      <c r="AC84" s="52"/>
    </row>
    <row r="85" spans="1:29" x14ac:dyDescent="0.25">
      <c r="A85" s="113" t="s">
        <v>19</v>
      </c>
      <c r="B85" s="109" t="s">
        <v>158</v>
      </c>
      <c r="C85" s="103" t="s">
        <v>244</v>
      </c>
      <c r="D85" s="53"/>
      <c r="E85" s="52" t="s">
        <v>300</v>
      </c>
      <c r="F85" s="103" t="s">
        <v>249</v>
      </c>
      <c r="G85" s="52"/>
      <c r="H85" s="52"/>
      <c r="I85" s="52"/>
      <c r="J85" s="52"/>
      <c r="K85" s="52"/>
      <c r="L85" s="19"/>
      <c r="M85" s="52"/>
      <c r="N85" s="19"/>
      <c r="O85" s="52"/>
      <c r="P85" s="19"/>
      <c r="Q85" s="52"/>
      <c r="R85" s="19"/>
      <c r="S85" s="52"/>
      <c r="T85" s="19"/>
      <c r="U85" s="56"/>
      <c r="V85" s="19"/>
      <c r="W85" s="84"/>
      <c r="X85" s="52"/>
      <c r="Y85" s="52"/>
      <c r="Z85" s="52"/>
      <c r="AA85" s="52"/>
      <c r="AB85" s="52"/>
      <c r="AC85" s="52"/>
    </row>
    <row r="86" spans="1:29" x14ac:dyDescent="0.25">
      <c r="A86" s="111" t="s">
        <v>173</v>
      </c>
      <c r="B86" s="109" t="s">
        <v>174</v>
      </c>
      <c r="C86" s="103" t="s">
        <v>244</v>
      </c>
      <c r="D86" s="53"/>
      <c r="E86" s="52" t="s">
        <v>300</v>
      </c>
      <c r="F86" s="103" t="s">
        <v>249</v>
      </c>
      <c r="G86" s="52"/>
      <c r="H86" s="52"/>
      <c r="I86" s="52"/>
      <c r="J86" s="52"/>
      <c r="K86" s="52"/>
      <c r="L86" s="19"/>
      <c r="M86" s="52"/>
      <c r="N86" s="19"/>
      <c r="O86" s="52"/>
      <c r="P86" s="19"/>
      <c r="Q86" s="52"/>
      <c r="R86" s="19"/>
      <c r="S86" s="52"/>
      <c r="T86" s="19"/>
      <c r="U86" s="84"/>
      <c r="V86" s="19"/>
      <c r="W86" s="84"/>
      <c r="X86" s="52"/>
      <c r="Y86" s="52"/>
      <c r="Z86" s="52"/>
      <c r="AA86" s="52"/>
      <c r="AB86" s="52"/>
      <c r="AC86" s="52"/>
    </row>
    <row r="87" spans="1:29" x14ac:dyDescent="0.25">
      <c r="A87" s="111" t="s">
        <v>413</v>
      </c>
      <c r="B87" s="110" t="s">
        <v>414</v>
      </c>
      <c r="C87" s="103" t="s">
        <v>272</v>
      </c>
      <c r="D87" s="53"/>
      <c r="E87" s="52" t="s">
        <v>300</v>
      </c>
      <c r="F87" s="103" t="s">
        <v>454</v>
      </c>
      <c r="G87" s="52" t="s">
        <v>458</v>
      </c>
      <c r="H87" s="52"/>
      <c r="I87" s="116"/>
      <c r="J87" s="52"/>
      <c r="K87" s="52"/>
      <c r="L87" s="19"/>
      <c r="M87" s="52"/>
      <c r="N87" s="19"/>
      <c r="O87" s="52"/>
      <c r="P87" s="19"/>
      <c r="Q87" s="52"/>
      <c r="R87" s="19"/>
      <c r="S87" s="52"/>
      <c r="T87" s="19"/>
      <c r="U87" s="84"/>
      <c r="V87" s="19"/>
      <c r="W87" s="84"/>
      <c r="X87" s="52"/>
      <c r="Y87" s="52"/>
      <c r="Z87" s="52"/>
      <c r="AA87" s="52"/>
      <c r="AB87" s="52"/>
      <c r="AC87" s="52"/>
    </row>
    <row r="88" spans="1:29" x14ac:dyDescent="0.25">
      <c r="A88" s="111" t="s">
        <v>256</v>
      </c>
      <c r="B88" s="109" t="s">
        <v>259</v>
      </c>
      <c r="C88" s="103" t="s">
        <v>272</v>
      </c>
      <c r="D88" s="53"/>
      <c r="E88" s="52"/>
      <c r="F88" s="103" t="s">
        <v>454</v>
      </c>
      <c r="G88" s="52" t="s">
        <v>458</v>
      </c>
      <c r="H88" s="52"/>
      <c r="I88" s="116"/>
      <c r="J88" s="52"/>
      <c r="K88" s="52"/>
      <c r="L88" s="19"/>
      <c r="M88" s="52"/>
      <c r="N88" s="19"/>
      <c r="O88" s="52"/>
      <c r="P88" s="19"/>
      <c r="Q88" s="52"/>
      <c r="R88" s="19"/>
      <c r="S88" s="52"/>
      <c r="T88" s="19"/>
      <c r="U88" s="84"/>
      <c r="V88" s="19"/>
      <c r="W88" s="84"/>
      <c r="X88" s="52"/>
      <c r="Y88" s="52"/>
      <c r="Z88" s="52"/>
      <c r="AA88" s="52"/>
      <c r="AB88" s="52"/>
      <c r="AC88" s="52"/>
    </row>
    <row r="89" spans="1:29" x14ac:dyDescent="0.25">
      <c r="A89" s="111" t="s">
        <v>275</v>
      </c>
      <c r="B89" s="109" t="s">
        <v>276</v>
      </c>
      <c r="C89" s="103" t="s">
        <v>272</v>
      </c>
      <c r="D89" s="53"/>
      <c r="E89" s="52" t="s">
        <v>300</v>
      </c>
      <c r="F89" s="103" t="s">
        <v>249</v>
      </c>
      <c r="G89" s="52"/>
      <c r="H89" s="52"/>
      <c r="I89" s="116"/>
      <c r="J89" s="52"/>
      <c r="K89" s="52"/>
      <c r="L89" s="19"/>
      <c r="M89" s="52"/>
      <c r="N89" s="19"/>
      <c r="O89" s="52"/>
      <c r="P89" s="19"/>
      <c r="Q89" s="52"/>
      <c r="R89" s="19"/>
      <c r="S89" s="52"/>
      <c r="T89" s="19"/>
      <c r="U89" s="85"/>
      <c r="V89" s="19"/>
      <c r="W89" s="85"/>
      <c r="X89" s="52"/>
      <c r="Y89" s="52"/>
      <c r="Z89" s="52"/>
      <c r="AA89" s="52"/>
      <c r="AB89" s="52"/>
      <c r="AC89" s="52"/>
    </row>
    <row r="90" spans="1:29" x14ac:dyDescent="0.25">
      <c r="A90" s="111" t="s">
        <v>250</v>
      </c>
      <c r="B90" s="109" t="s">
        <v>251</v>
      </c>
      <c r="C90" s="103" t="s">
        <v>273</v>
      </c>
      <c r="D90" s="53"/>
      <c r="E90" s="52" t="s">
        <v>300</v>
      </c>
      <c r="F90" s="103" t="s">
        <v>249</v>
      </c>
      <c r="G90" s="52"/>
      <c r="H90" s="52"/>
      <c r="I90" s="116"/>
      <c r="J90" s="52"/>
      <c r="K90" s="52"/>
      <c r="L90" s="19"/>
      <c r="M90" s="52"/>
      <c r="N90" s="19"/>
      <c r="O90" s="52"/>
      <c r="P90" s="19"/>
      <c r="Q90" s="52"/>
      <c r="R90" s="19"/>
      <c r="S90" s="52"/>
      <c r="T90" s="19"/>
      <c r="U90" s="56"/>
      <c r="V90" s="19"/>
      <c r="W90" s="56"/>
      <c r="X90" s="52"/>
      <c r="Y90" s="52"/>
      <c r="Z90" s="52"/>
      <c r="AA90" s="52"/>
      <c r="AB90" s="52"/>
      <c r="AC90" s="52"/>
    </row>
    <row r="91" spans="1:29" x14ac:dyDescent="0.25">
      <c r="A91" s="111" t="s">
        <v>184</v>
      </c>
      <c r="B91" s="109" t="s">
        <v>185</v>
      </c>
      <c r="C91" s="103" t="s">
        <v>273</v>
      </c>
      <c r="D91" s="53"/>
      <c r="E91" s="52" t="s">
        <v>300</v>
      </c>
      <c r="F91" s="103" t="s">
        <v>249</v>
      </c>
      <c r="G91" s="52"/>
      <c r="H91" s="52"/>
      <c r="I91" s="117"/>
      <c r="J91" s="52"/>
      <c r="K91" s="52"/>
      <c r="L91" s="19"/>
      <c r="M91" s="52"/>
      <c r="N91" s="19"/>
      <c r="O91" s="52"/>
      <c r="P91" s="19"/>
      <c r="Q91" s="52"/>
      <c r="R91" s="19"/>
      <c r="S91" s="52"/>
      <c r="T91" s="19"/>
      <c r="U91" s="56"/>
      <c r="V91" s="19"/>
      <c r="W91" s="56"/>
      <c r="X91" s="52"/>
      <c r="Y91" s="52"/>
      <c r="Z91" s="52"/>
      <c r="AA91" s="52"/>
      <c r="AB91" s="52"/>
      <c r="AC91" s="52"/>
    </row>
    <row r="92" spans="1:29" x14ac:dyDescent="0.25">
      <c r="A92" s="111" t="s">
        <v>223</v>
      </c>
      <c r="B92" s="109" t="s">
        <v>224</v>
      </c>
      <c r="C92" s="103" t="s">
        <v>244</v>
      </c>
      <c r="D92" s="53"/>
      <c r="E92" s="52" t="s">
        <v>300</v>
      </c>
      <c r="F92" s="103" t="s">
        <v>249</v>
      </c>
      <c r="G92" s="52"/>
      <c r="H92" s="52"/>
      <c r="I92" s="117"/>
      <c r="J92" s="52"/>
      <c r="K92" s="52"/>
      <c r="L92" s="19"/>
      <c r="M92" s="52"/>
      <c r="N92" s="19"/>
      <c r="O92" s="52"/>
      <c r="P92" s="19"/>
      <c r="Q92" s="52"/>
      <c r="R92" s="19"/>
      <c r="S92" s="52"/>
      <c r="T92" s="19"/>
      <c r="U92" s="56"/>
      <c r="V92" s="19"/>
      <c r="W92" s="56"/>
      <c r="X92" s="52"/>
      <c r="Y92" s="52"/>
      <c r="Z92" s="52"/>
      <c r="AA92" s="52"/>
      <c r="AB92" s="52"/>
      <c r="AC92" s="52"/>
    </row>
    <row r="93" spans="1:29" x14ac:dyDescent="0.25">
      <c r="A93" s="111" t="s">
        <v>238</v>
      </c>
      <c r="B93" s="109" t="s">
        <v>304</v>
      </c>
      <c r="C93" s="103" t="s">
        <v>272</v>
      </c>
      <c r="D93" s="53"/>
      <c r="E93" s="52" t="s">
        <v>300</v>
      </c>
      <c r="F93" s="103" t="s">
        <v>454</v>
      </c>
      <c r="G93" s="52" t="s">
        <v>458</v>
      </c>
      <c r="H93" s="52"/>
      <c r="I93" s="117"/>
      <c r="J93" s="52"/>
      <c r="K93" s="52"/>
      <c r="L93" s="19"/>
      <c r="M93" s="52"/>
      <c r="N93" s="19"/>
      <c r="O93" s="52"/>
      <c r="P93" s="19"/>
      <c r="Q93" s="52"/>
      <c r="R93" s="19"/>
      <c r="S93" s="52"/>
      <c r="T93" s="19"/>
      <c r="U93" s="56"/>
      <c r="V93" s="19"/>
      <c r="W93" s="56"/>
      <c r="X93" s="52"/>
      <c r="Y93" s="52"/>
      <c r="Z93" s="52"/>
      <c r="AA93" s="52"/>
      <c r="AB93" s="52"/>
      <c r="AC93" s="52"/>
    </row>
    <row r="94" spans="1:29" x14ac:dyDescent="0.25">
      <c r="A94" s="111" t="s">
        <v>247</v>
      </c>
      <c r="B94" s="109" t="s">
        <v>248</v>
      </c>
      <c r="C94" s="103" t="s">
        <v>244</v>
      </c>
      <c r="D94" s="55"/>
      <c r="E94" s="52" t="s">
        <v>300</v>
      </c>
      <c r="F94" s="103" t="s">
        <v>454</v>
      </c>
      <c r="G94" s="52" t="s">
        <v>458</v>
      </c>
      <c r="H94" s="52"/>
      <c r="I94" s="118"/>
      <c r="J94" s="52"/>
      <c r="K94" s="52"/>
      <c r="L94" s="19"/>
      <c r="M94" s="52"/>
      <c r="N94" s="19"/>
      <c r="O94" s="52"/>
      <c r="P94" s="19"/>
      <c r="Q94" s="52"/>
      <c r="R94" s="19"/>
      <c r="S94" s="52"/>
      <c r="T94" s="19"/>
      <c r="U94" s="56"/>
      <c r="V94" s="19"/>
      <c r="W94" s="56"/>
      <c r="X94" s="52"/>
      <c r="Y94" s="52"/>
      <c r="Z94" s="52"/>
      <c r="AA94" s="52"/>
      <c r="AB94" s="52"/>
      <c r="AC94" s="52"/>
    </row>
    <row r="95" spans="1:29" x14ac:dyDescent="0.25">
      <c r="A95" s="111" t="s">
        <v>219</v>
      </c>
      <c r="B95" s="109" t="s">
        <v>220</v>
      </c>
      <c r="C95" s="103" t="s">
        <v>272</v>
      </c>
      <c r="D95" s="53"/>
      <c r="E95" s="52" t="s">
        <v>300</v>
      </c>
      <c r="F95" s="103" t="s">
        <v>249</v>
      </c>
      <c r="G95" s="52"/>
      <c r="H95" s="52"/>
      <c r="I95" s="117"/>
      <c r="J95" s="52"/>
      <c r="K95" s="52"/>
      <c r="L95" s="19"/>
      <c r="M95" s="52"/>
      <c r="N95" s="19"/>
      <c r="O95" s="52"/>
      <c r="P95" s="19"/>
      <c r="Q95" s="52"/>
      <c r="R95" s="19"/>
      <c r="S95" s="52"/>
      <c r="T95" s="19"/>
      <c r="U95" s="84"/>
      <c r="V95" s="19"/>
      <c r="W95" s="56"/>
      <c r="X95" s="52"/>
      <c r="Y95" s="52"/>
      <c r="Z95" s="52"/>
      <c r="AA95" s="52"/>
      <c r="AB95" s="52"/>
      <c r="AC95" s="52"/>
    </row>
    <row r="96" spans="1:29" x14ac:dyDescent="0.25">
      <c r="A96" s="111" t="s">
        <v>257</v>
      </c>
      <c r="B96" s="109" t="s">
        <v>260</v>
      </c>
      <c r="C96" s="103" t="s">
        <v>272</v>
      </c>
      <c r="D96" s="53"/>
      <c r="E96" s="52" t="s">
        <v>300</v>
      </c>
      <c r="F96" s="103" t="s">
        <v>454</v>
      </c>
      <c r="G96" s="52" t="s">
        <v>300</v>
      </c>
      <c r="H96" s="52"/>
      <c r="I96" s="117"/>
      <c r="J96" s="52"/>
      <c r="K96" s="52"/>
      <c r="L96" s="19"/>
      <c r="M96" s="52"/>
      <c r="N96" s="19"/>
      <c r="O96" s="52"/>
      <c r="P96" s="19"/>
      <c r="Q96" s="52"/>
      <c r="R96" s="19"/>
      <c r="S96" s="52"/>
      <c r="T96" s="19"/>
      <c r="U96" s="84"/>
      <c r="V96" s="19"/>
      <c r="W96" s="84"/>
      <c r="X96" s="52"/>
      <c r="Y96" s="52"/>
      <c r="Z96" s="52"/>
      <c r="AA96" s="52"/>
      <c r="AB96" s="52"/>
      <c r="AC96" s="52"/>
    </row>
    <row r="97" spans="1:29" x14ac:dyDescent="0.25">
      <c r="A97" s="111" t="s">
        <v>240</v>
      </c>
      <c r="B97" s="109" t="s">
        <v>241</v>
      </c>
      <c r="C97" s="103" t="s">
        <v>272</v>
      </c>
      <c r="D97" s="53"/>
      <c r="E97" s="52" t="s">
        <v>300</v>
      </c>
      <c r="F97" s="103" t="s">
        <v>249</v>
      </c>
      <c r="G97" s="52"/>
      <c r="H97" s="52"/>
      <c r="I97" s="117"/>
      <c r="J97" s="52"/>
      <c r="K97" s="52"/>
      <c r="L97" s="19"/>
      <c r="M97" s="52"/>
      <c r="N97" s="19"/>
      <c r="O97" s="52"/>
      <c r="P97" s="19"/>
      <c r="Q97" s="52"/>
      <c r="R97" s="19"/>
      <c r="S97" s="52"/>
      <c r="T97" s="19"/>
      <c r="U97" s="85"/>
      <c r="V97" s="19"/>
      <c r="W97" s="85"/>
      <c r="X97" s="52"/>
      <c r="Y97" s="52"/>
      <c r="Z97" s="52"/>
      <c r="AA97" s="52"/>
      <c r="AB97" s="52"/>
      <c r="AC97" s="52"/>
    </row>
    <row r="98" spans="1:29" x14ac:dyDescent="0.25">
      <c r="A98" s="111" t="s">
        <v>405</v>
      </c>
      <c r="B98" s="109" t="s">
        <v>425</v>
      </c>
      <c r="C98" s="103" t="s">
        <v>244</v>
      </c>
      <c r="D98" s="53"/>
      <c r="E98" s="52" t="s">
        <v>300</v>
      </c>
      <c r="F98" s="103" t="s">
        <v>249</v>
      </c>
      <c r="G98" s="52"/>
      <c r="H98" s="52"/>
      <c r="I98" s="117"/>
      <c r="J98" s="52"/>
      <c r="K98" s="52"/>
      <c r="L98" s="19"/>
      <c r="M98" s="52"/>
      <c r="N98" s="19"/>
      <c r="O98" s="52"/>
      <c r="P98" s="19"/>
      <c r="Q98" s="52"/>
      <c r="R98" s="19"/>
      <c r="S98" s="52"/>
      <c r="T98" s="19"/>
      <c r="U98" s="85"/>
      <c r="V98" s="19"/>
      <c r="W98" s="85"/>
      <c r="X98" s="52"/>
      <c r="Y98" s="52"/>
      <c r="Z98" s="52"/>
      <c r="AA98" s="52"/>
      <c r="AB98" s="52"/>
      <c r="AC98" s="52"/>
    </row>
    <row r="99" spans="1:29" x14ac:dyDescent="0.25">
      <c r="A99" s="111" t="s">
        <v>197</v>
      </c>
      <c r="B99" s="109" t="s">
        <v>188</v>
      </c>
      <c r="C99" s="103" t="s">
        <v>249</v>
      </c>
      <c r="D99" s="53"/>
      <c r="E99" s="52"/>
      <c r="F99" s="103" t="s">
        <v>249</v>
      </c>
      <c r="G99" s="52"/>
      <c r="H99" s="52"/>
      <c r="I99" s="117"/>
      <c r="J99" s="52"/>
      <c r="K99" s="52"/>
      <c r="L99" s="19"/>
      <c r="M99" s="52"/>
      <c r="N99" s="19"/>
      <c r="O99" s="52"/>
      <c r="P99" s="19"/>
      <c r="Q99" s="52"/>
      <c r="R99" s="19"/>
      <c r="S99" s="52"/>
      <c r="T99" s="19"/>
      <c r="U99" s="85"/>
      <c r="V99" s="19"/>
      <c r="W99" s="85"/>
      <c r="X99" s="52"/>
      <c r="Y99" s="52"/>
      <c r="Z99" s="52"/>
      <c r="AA99" s="52"/>
      <c r="AB99" s="52"/>
      <c r="AC99" s="52"/>
    </row>
    <row r="100" spans="1:29" x14ac:dyDescent="0.25">
      <c r="A100" s="111" t="s">
        <v>415</v>
      </c>
      <c r="B100" s="109" t="s">
        <v>416</v>
      </c>
      <c r="C100" s="103" t="s">
        <v>244</v>
      </c>
      <c r="D100" s="53"/>
      <c r="E100" s="52" t="s">
        <v>300</v>
      </c>
      <c r="F100" s="103" t="s">
        <v>454</v>
      </c>
      <c r="G100" s="52" t="s">
        <v>458</v>
      </c>
      <c r="H100" s="52"/>
      <c r="I100" s="117"/>
      <c r="J100" s="52"/>
      <c r="K100" s="52"/>
      <c r="L100" s="19"/>
      <c r="M100" s="52"/>
      <c r="N100" s="19"/>
      <c r="O100" s="52"/>
      <c r="P100" s="19"/>
      <c r="Q100" s="52"/>
      <c r="R100" s="19"/>
      <c r="S100" s="52"/>
      <c r="T100" s="19"/>
      <c r="U100" s="56"/>
      <c r="V100" s="19"/>
      <c r="W100" s="56"/>
      <c r="X100" s="52"/>
      <c r="Y100" s="52"/>
      <c r="Z100" s="52"/>
      <c r="AA100" s="52"/>
      <c r="AB100" s="52"/>
      <c r="AC100" s="52"/>
    </row>
    <row r="101" spans="1:29" x14ac:dyDescent="0.25">
      <c r="A101" s="111" t="s">
        <v>186</v>
      </c>
      <c r="B101" s="109" t="s">
        <v>187</v>
      </c>
      <c r="C101" s="103" t="s">
        <v>272</v>
      </c>
      <c r="D101" s="54"/>
      <c r="E101" s="52"/>
      <c r="F101" s="103" t="s">
        <v>249</v>
      </c>
      <c r="G101" s="52"/>
      <c r="H101" s="52"/>
      <c r="I101" s="117"/>
      <c r="J101" s="52"/>
      <c r="K101" s="52"/>
      <c r="L101" s="19"/>
      <c r="M101" s="52"/>
      <c r="N101" s="19"/>
      <c r="O101" s="52"/>
      <c r="P101" s="19"/>
      <c r="Q101" s="52"/>
      <c r="R101" s="19"/>
      <c r="S101" s="52"/>
      <c r="T101" s="19"/>
      <c r="U101" s="56"/>
      <c r="V101" s="19"/>
      <c r="W101" s="56"/>
      <c r="X101" s="52"/>
      <c r="Y101" s="52"/>
      <c r="Z101" s="52"/>
      <c r="AA101" s="52"/>
      <c r="AB101" s="52"/>
      <c r="AC101" s="52"/>
    </row>
    <row r="102" spans="1:29" x14ac:dyDescent="0.25">
      <c r="A102" s="111" t="s">
        <v>345</v>
      </c>
      <c r="B102" s="109" t="s">
        <v>346</v>
      </c>
      <c r="C102" s="103" t="s">
        <v>273</v>
      </c>
      <c r="D102" s="54"/>
      <c r="E102" s="52" t="s">
        <v>300</v>
      </c>
      <c r="F102" s="103" t="s">
        <v>249</v>
      </c>
      <c r="G102" s="52"/>
      <c r="H102" s="52"/>
      <c r="I102" s="117"/>
      <c r="J102" s="52"/>
      <c r="K102" s="52"/>
      <c r="L102" s="19"/>
      <c r="M102" s="52"/>
      <c r="N102" s="19"/>
      <c r="O102" s="52"/>
      <c r="P102" s="19"/>
      <c r="Q102" s="52"/>
      <c r="R102" s="19"/>
      <c r="S102" s="52"/>
      <c r="T102" s="19"/>
      <c r="U102" s="56"/>
      <c r="V102" s="19"/>
      <c r="W102" s="56"/>
      <c r="X102" s="52"/>
      <c r="Y102" s="52"/>
      <c r="Z102" s="52"/>
      <c r="AA102" s="52"/>
      <c r="AB102" s="52"/>
      <c r="AC102" s="52"/>
    </row>
    <row r="103" spans="1:29" x14ac:dyDescent="0.25">
      <c r="A103" s="111" t="s">
        <v>399</v>
      </c>
      <c r="B103" s="109" t="s">
        <v>400</v>
      </c>
      <c r="C103" s="103" t="s">
        <v>273</v>
      </c>
      <c r="D103" s="54"/>
      <c r="E103" s="52" t="s">
        <v>300</v>
      </c>
      <c r="F103" s="103" t="s">
        <v>249</v>
      </c>
      <c r="G103" s="52"/>
      <c r="H103" s="52"/>
      <c r="I103" s="117"/>
      <c r="J103" s="52"/>
      <c r="K103" s="52"/>
      <c r="L103" s="19"/>
      <c r="M103" s="52"/>
      <c r="N103" s="19"/>
      <c r="O103" s="52"/>
      <c r="P103" s="19"/>
      <c r="Q103" s="52"/>
      <c r="R103" s="19"/>
      <c r="S103" s="52"/>
      <c r="T103" s="19"/>
      <c r="U103" s="84"/>
      <c r="V103" s="19"/>
      <c r="W103" s="84"/>
      <c r="X103" s="52"/>
      <c r="Y103" s="52"/>
      <c r="Z103" s="52"/>
      <c r="AA103" s="52"/>
      <c r="AB103" s="52"/>
      <c r="AC103" s="52"/>
    </row>
    <row r="104" spans="1:29" x14ac:dyDescent="0.25">
      <c r="A104" s="111" t="s">
        <v>202</v>
      </c>
      <c r="B104" s="109" t="s">
        <v>203</v>
      </c>
      <c r="C104" s="103" t="s">
        <v>244</v>
      </c>
      <c r="D104" s="53"/>
      <c r="E104" s="52" t="s">
        <v>300</v>
      </c>
      <c r="F104" s="103" t="s">
        <v>249</v>
      </c>
      <c r="G104" s="52" t="s">
        <v>460</v>
      </c>
      <c r="H104" s="52"/>
      <c r="I104" s="117"/>
      <c r="J104" s="52"/>
      <c r="K104" s="52"/>
      <c r="L104" s="19"/>
      <c r="M104" s="52"/>
      <c r="N104" s="19"/>
      <c r="O104" s="52"/>
      <c r="P104" s="19"/>
      <c r="Q104" s="52"/>
      <c r="R104" s="19"/>
      <c r="S104" s="52"/>
      <c r="T104" s="19"/>
      <c r="U104" s="84"/>
      <c r="V104" s="19"/>
      <c r="W104" s="84"/>
      <c r="X104" s="52"/>
      <c r="Y104" s="52"/>
      <c r="Z104" s="52"/>
      <c r="AA104" s="52"/>
      <c r="AB104" s="52"/>
      <c r="AC104" s="52"/>
    </row>
    <row r="105" spans="1:29" x14ac:dyDescent="0.25">
      <c r="A105" s="111" t="s">
        <v>204</v>
      </c>
      <c r="B105" s="109" t="s">
        <v>206</v>
      </c>
      <c r="C105" s="103" t="s">
        <v>244</v>
      </c>
      <c r="D105" s="53"/>
      <c r="E105" s="52" t="s">
        <v>300</v>
      </c>
      <c r="F105" s="103" t="s">
        <v>249</v>
      </c>
      <c r="G105" s="52"/>
      <c r="H105" s="52"/>
      <c r="I105" s="117"/>
      <c r="J105" s="52"/>
      <c r="K105" s="52"/>
      <c r="L105" s="19"/>
      <c r="M105" s="52"/>
      <c r="N105" s="19"/>
      <c r="O105" s="52"/>
      <c r="P105" s="19"/>
      <c r="Q105" s="52"/>
      <c r="R105" s="19"/>
      <c r="S105" s="52"/>
      <c r="T105" s="19"/>
      <c r="U105" s="56"/>
      <c r="V105" s="19"/>
      <c r="W105" s="56"/>
      <c r="X105" s="52"/>
      <c r="Y105" s="52"/>
      <c r="Z105" s="52"/>
      <c r="AA105" s="52"/>
      <c r="AB105" s="52"/>
      <c r="AC105" s="52"/>
    </row>
    <row r="106" spans="1:29" x14ac:dyDescent="0.25">
      <c r="A106" s="114" t="s">
        <v>199</v>
      </c>
      <c r="B106" s="109" t="s">
        <v>207</v>
      </c>
      <c r="C106" s="103" t="s">
        <v>273</v>
      </c>
      <c r="D106" s="53"/>
      <c r="E106" s="52" t="s">
        <v>300</v>
      </c>
      <c r="F106" s="103" t="s">
        <v>249</v>
      </c>
      <c r="G106" s="52"/>
      <c r="H106" s="52"/>
      <c r="I106" s="117"/>
      <c r="J106" s="52"/>
      <c r="K106" s="52"/>
      <c r="L106" s="19"/>
      <c r="M106" s="52"/>
      <c r="N106" s="19"/>
      <c r="O106" s="52"/>
      <c r="P106" s="19"/>
      <c r="Q106" s="52"/>
      <c r="R106" s="19"/>
      <c r="S106" s="52"/>
      <c r="T106" s="19"/>
      <c r="U106" s="84"/>
      <c r="V106" s="19"/>
      <c r="W106" s="84"/>
      <c r="X106" s="52"/>
      <c r="Y106" s="52"/>
      <c r="Z106" s="52"/>
      <c r="AA106" s="52"/>
      <c r="AB106" s="52"/>
      <c r="AC106" s="52"/>
    </row>
    <row r="107" spans="1:29" x14ac:dyDescent="0.25">
      <c r="A107" s="114" t="s">
        <v>354</v>
      </c>
      <c r="B107" s="109" t="s">
        <v>355</v>
      </c>
      <c r="C107" s="103" t="s">
        <v>273</v>
      </c>
      <c r="D107" s="53"/>
      <c r="E107" s="52" t="s">
        <v>300</v>
      </c>
      <c r="F107" s="103" t="s">
        <v>249</v>
      </c>
      <c r="G107" s="52"/>
      <c r="H107" s="52"/>
      <c r="I107" s="117"/>
      <c r="J107" s="52"/>
      <c r="K107" s="52"/>
      <c r="L107" s="19"/>
      <c r="M107" s="52"/>
      <c r="N107" s="19"/>
      <c r="O107" s="52"/>
      <c r="P107" s="19"/>
      <c r="Q107" s="52"/>
      <c r="R107" s="19"/>
      <c r="S107" s="52"/>
      <c r="T107" s="19"/>
      <c r="U107" s="56"/>
      <c r="V107" s="19"/>
      <c r="W107" s="56"/>
      <c r="X107" s="52"/>
      <c r="Y107" s="52"/>
      <c r="Z107" s="52"/>
      <c r="AA107" s="52"/>
      <c r="AB107" s="52"/>
      <c r="AC107" s="52"/>
    </row>
    <row r="108" spans="1:29" x14ac:dyDescent="0.25">
      <c r="A108" s="114" t="s">
        <v>228</v>
      </c>
      <c r="B108" s="109" t="s">
        <v>229</v>
      </c>
      <c r="C108" s="103" t="s">
        <v>244</v>
      </c>
      <c r="D108" s="53"/>
      <c r="E108" s="52" t="s">
        <v>300</v>
      </c>
      <c r="F108" s="103" t="s">
        <v>249</v>
      </c>
      <c r="G108" s="52"/>
      <c r="H108" s="52"/>
      <c r="I108" s="117"/>
      <c r="J108" s="52"/>
      <c r="K108" s="52"/>
      <c r="L108" s="19"/>
      <c r="M108" s="52"/>
      <c r="N108" s="19"/>
      <c r="O108" s="52"/>
      <c r="P108" s="19"/>
      <c r="Q108" s="52"/>
      <c r="R108" s="19"/>
      <c r="S108" s="52"/>
      <c r="T108" s="19"/>
      <c r="U108" s="56"/>
      <c r="V108" s="19"/>
      <c r="W108" s="84"/>
      <c r="X108" s="52"/>
      <c r="Y108" s="52"/>
      <c r="Z108" s="52"/>
      <c r="AA108" s="52"/>
      <c r="AB108" s="52"/>
      <c r="AC108" s="52"/>
    </row>
    <row r="109" spans="1:29" x14ac:dyDescent="0.25">
      <c r="A109" s="114" t="s">
        <v>417</v>
      </c>
      <c r="B109" s="109" t="s">
        <v>418</v>
      </c>
      <c r="C109" s="103" t="s">
        <v>272</v>
      </c>
      <c r="D109" s="53"/>
      <c r="E109" s="52" t="s">
        <v>300</v>
      </c>
      <c r="F109" s="103" t="s">
        <v>249</v>
      </c>
      <c r="G109" s="52"/>
      <c r="H109" s="52"/>
      <c r="I109" s="117"/>
      <c r="J109" s="52"/>
      <c r="K109" s="52"/>
      <c r="L109" s="19"/>
      <c r="M109" s="52"/>
      <c r="N109" s="19"/>
      <c r="O109" s="52"/>
      <c r="P109" s="19"/>
      <c r="Q109" s="52"/>
      <c r="R109" s="19"/>
      <c r="S109" s="52"/>
      <c r="T109" s="19"/>
      <c r="U109" s="56"/>
      <c r="V109" s="19"/>
      <c r="W109" s="56"/>
      <c r="X109" s="52"/>
      <c r="Y109" s="52"/>
      <c r="Z109" s="52"/>
      <c r="AA109" s="52"/>
      <c r="AB109" s="52"/>
      <c r="AC109" s="52"/>
    </row>
    <row r="110" spans="1:29" x14ac:dyDescent="0.25">
      <c r="A110" s="114" t="s">
        <v>356</v>
      </c>
      <c r="B110" s="109" t="s">
        <v>357</v>
      </c>
      <c r="C110" s="103" t="s">
        <v>244</v>
      </c>
      <c r="D110" s="53"/>
      <c r="E110" s="52"/>
      <c r="F110" s="103" t="s">
        <v>249</v>
      </c>
      <c r="G110" s="52"/>
      <c r="H110" s="52"/>
      <c r="I110" s="117"/>
      <c r="J110" s="52"/>
      <c r="K110" s="52"/>
      <c r="L110" s="19"/>
      <c r="M110" s="52"/>
      <c r="N110" s="19"/>
      <c r="O110" s="52"/>
      <c r="P110" s="19"/>
      <c r="Q110" s="52"/>
      <c r="R110" s="19"/>
      <c r="S110" s="52"/>
      <c r="T110" s="19"/>
      <c r="U110" s="56"/>
      <c r="V110" s="19"/>
      <c r="W110" s="56"/>
      <c r="X110" s="52"/>
      <c r="Y110" s="52"/>
      <c r="Z110" s="52"/>
      <c r="AA110" s="52"/>
      <c r="AB110" s="52"/>
      <c r="AC110" s="52"/>
    </row>
    <row r="111" spans="1:29" x14ac:dyDescent="0.25">
      <c r="A111" s="114" t="s">
        <v>277</v>
      </c>
      <c r="B111" s="109" t="s">
        <v>278</v>
      </c>
      <c r="C111" s="103" t="s">
        <v>273</v>
      </c>
      <c r="D111" s="53"/>
      <c r="E111" s="52" t="s">
        <v>300</v>
      </c>
      <c r="F111" s="103" t="s">
        <v>249</v>
      </c>
      <c r="G111" s="52"/>
      <c r="H111" s="52"/>
      <c r="I111" s="117"/>
      <c r="J111" s="52"/>
      <c r="K111" s="52"/>
      <c r="L111" s="19"/>
      <c r="M111" s="52"/>
      <c r="N111" s="19"/>
      <c r="O111" s="52"/>
      <c r="P111" s="19"/>
      <c r="Q111" s="52"/>
      <c r="R111" s="19"/>
      <c r="S111" s="52"/>
      <c r="T111" s="19"/>
      <c r="U111" s="56"/>
      <c r="V111" s="19"/>
      <c r="W111" s="56"/>
      <c r="X111" s="52"/>
      <c r="Y111" s="52"/>
      <c r="Z111" s="52"/>
      <c r="AA111" s="52"/>
      <c r="AB111" s="52"/>
      <c r="AC111" s="52"/>
    </row>
    <row r="112" spans="1:29" x14ac:dyDescent="0.25">
      <c r="A112" s="114" t="s">
        <v>236</v>
      </c>
      <c r="B112" s="109" t="s">
        <v>302</v>
      </c>
      <c r="C112" s="103" t="s">
        <v>272</v>
      </c>
      <c r="D112" s="53"/>
      <c r="E112" s="52" t="s">
        <v>300</v>
      </c>
      <c r="F112" s="103" t="s">
        <v>454</v>
      </c>
      <c r="G112" s="52"/>
      <c r="H112" s="52"/>
      <c r="I112" s="117"/>
      <c r="J112" s="52"/>
      <c r="K112" s="52"/>
      <c r="L112" s="19"/>
      <c r="M112" s="52"/>
      <c r="N112" s="19"/>
      <c r="O112" s="52"/>
      <c r="P112" s="19"/>
      <c r="Q112" s="52"/>
      <c r="R112" s="19"/>
      <c r="S112" s="52"/>
      <c r="T112" s="19"/>
      <c r="U112" s="84"/>
      <c r="V112" s="19"/>
      <c r="W112" s="85"/>
      <c r="X112" s="52"/>
      <c r="Y112" s="52"/>
      <c r="Z112" s="52"/>
      <c r="AA112" s="52"/>
      <c r="AB112" s="52"/>
      <c r="AC112" s="52"/>
    </row>
    <row r="113" spans="1:29" x14ac:dyDescent="0.25">
      <c r="A113" s="114" t="s">
        <v>252</v>
      </c>
      <c r="B113" s="109" t="s">
        <v>461</v>
      </c>
      <c r="C113" s="103" t="s">
        <v>272</v>
      </c>
      <c r="D113" s="53"/>
      <c r="E113" s="52" t="s">
        <v>300</v>
      </c>
      <c r="F113" s="103" t="s">
        <v>249</v>
      </c>
      <c r="G113" s="52" t="s">
        <v>458</v>
      </c>
      <c r="H113" s="52"/>
      <c r="I113" s="117"/>
      <c r="J113" s="52"/>
      <c r="K113" s="52"/>
      <c r="L113" s="19"/>
      <c r="M113" s="52"/>
      <c r="N113" s="19"/>
      <c r="O113" s="52"/>
      <c r="P113" s="19"/>
      <c r="Q113" s="52"/>
      <c r="R113" s="19"/>
      <c r="S113" s="52"/>
      <c r="T113" s="19"/>
      <c r="U113" s="84"/>
      <c r="V113" s="19"/>
      <c r="W113" s="84"/>
      <c r="X113" s="52"/>
      <c r="Y113" s="52"/>
      <c r="Z113" s="52"/>
      <c r="AA113" s="52"/>
      <c r="AB113" s="52"/>
      <c r="AC113" s="52"/>
    </row>
    <row r="114" spans="1:29" x14ac:dyDescent="0.25">
      <c r="A114" s="114" t="s">
        <v>347</v>
      </c>
      <c r="B114" s="109" t="s">
        <v>348</v>
      </c>
      <c r="C114" s="103" t="s">
        <v>244</v>
      </c>
      <c r="D114" s="53"/>
      <c r="E114" s="52" t="s">
        <v>300</v>
      </c>
      <c r="F114" s="103" t="s">
        <v>249</v>
      </c>
      <c r="G114" s="52"/>
      <c r="H114" s="52"/>
      <c r="I114" s="117"/>
      <c r="J114" s="52"/>
      <c r="K114" s="52"/>
      <c r="L114" s="19"/>
      <c r="M114" s="52"/>
      <c r="N114" s="19"/>
      <c r="O114" s="52"/>
      <c r="P114" s="19"/>
      <c r="Q114" s="52"/>
      <c r="R114" s="19"/>
      <c r="S114" s="52"/>
      <c r="T114" s="19"/>
      <c r="U114" s="84"/>
      <c r="V114" s="19"/>
      <c r="W114" s="84"/>
      <c r="X114" s="52"/>
      <c r="Y114" s="52"/>
      <c r="Z114" s="52"/>
      <c r="AA114" s="52"/>
      <c r="AB114" s="52"/>
      <c r="AC114" s="52"/>
    </row>
    <row r="115" spans="1:29" x14ac:dyDescent="0.25">
      <c r="A115" s="114" t="s">
        <v>262</v>
      </c>
      <c r="B115" s="109" t="s">
        <v>263</v>
      </c>
      <c r="C115" s="103" t="s">
        <v>273</v>
      </c>
      <c r="D115" s="53"/>
      <c r="E115" s="52" t="s">
        <v>300</v>
      </c>
      <c r="F115" s="103" t="s">
        <v>249</v>
      </c>
      <c r="G115" s="52"/>
      <c r="H115" s="52"/>
      <c r="I115" s="52"/>
      <c r="J115" s="52"/>
      <c r="K115" s="52"/>
      <c r="L115" s="19"/>
      <c r="M115" s="52"/>
      <c r="N115" s="19"/>
      <c r="O115" s="52"/>
      <c r="P115" s="19"/>
      <c r="Q115" s="52"/>
      <c r="R115" s="19"/>
      <c r="S115" s="52"/>
      <c r="T115" s="19"/>
      <c r="U115" s="84"/>
      <c r="V115" s="19"/>
      <c r="W115" s="84"/>
      <c r="X115" s="52"/>
      <c r="Y115" s="52"/>
      <c r="Z115" s="52"/>
      <c r="AA115" s="52"/>
      <c r="AB115" s="52"/>
      <c r="AC115" s="52"/>
    </row>
    <row r="116" spans="1:29" x14ac:dyDescent="0.25">
      <c r="A116" s="114" t="s">
        <v>407</v>
      </c>
      <c r="B116" s="109" t="s">
        <v>408</v>
      </c>
      <c r="C116" s="103" t="s">
        <v>244</v>
      </c>
      <c r="D116" s="53"/>
      <c r="E116" s="52" t="s">
        <v>300</v>
      </c>
      <c r="F116" s="103" t="s">
        <v>303</v>
      </c>
      <c r="G116" s="52"/>
      <c r="H116" s="52"/>
      <c r="I116" s="52"/>
      <c r="J116" s="52"/>
      <c r="K116" s="52"/>
      <c r="L116" s="19"/>
      <c r="M116" s="52"/>
      <c r="N116" s="19"/>
      <c r="O116" s="52"/>
      <c r="P116" s="19"/>
      <c r="Q116" s="52"/>
      <c r="R116" s="19"/>
      <c r="S116" s="52"/>
      <c r="T116" s="19"/>
      <c r="U116" s="56"/>
      <c r="V116" s="19"/>
      <c r="W116" s="56"/>
      <c r="X116" s="52"/>
      <c r="Y116" s="52"/>
      <c r="Z116" s="52"/>
      <c r="AA116" s="52"/>
      <c r="AB116" s="52"/>
      <c r="AC116" s="52"/>
    </row>
    <row r="117" spans="1:29" x14ac:dyDescent="0.25">
      <c r="A117" s="114" t="s">
        <v>409</v>
      </c>
      <c r="B117" s="109" t="s">
        <v>410</v>
      </c>
      <c r="C117" s="103" t="s">
        <v>273</v>
      </c>
      <c r="D117" s="53"/>
      <c r="E117" s="52"/>
      <c r="F117" s="103" t="s">
        <v>454</v>
      </c>
      <c r="G117" s="52" t="s">
        <v>300</v>
      </c>
      <c r="H117" s="52"/>
      <c r="I117" s="52"/>
      <c r="J117" s="52"/>
      <c r="K117" s="52"/>
      <c r="L117" s="19"/>
      <c r="M117" s="52"/>
      <c r="N117" s="19"/>
      <c r="O117" s="52"/>
      <c r="P117" s="19"/>
      <c r="Q117" s="52"/>
      <c r="R117" s="19"/>
      <c r="S117" s="52"/>
      <c r="T117" s="19"/>
      <c r="U117" s="56"/>
      <c r="V117" s="19"/>
      <c r="W117" s="56"/>
      <c r="X117" s="52"/>
      <c r="Y117" s="52"/>
      <c r="Z117" s="52"/>
      <c r="AA117" s="52"/>
      <c r="AB117" s="52"/>
      <c r="AC117" s="52"/>
    </row>
    <row r="118" spans="1:29" x14ac:dyDescent="0.25">
      <c r="A118" s="114" t="s">
        <v>254</v>
      </c>
      <c r="B118" s="109" t="s">
        <v>255</v>
      </c>
      <c r="C118" s="103" t="s">
        <v>244</v>
      </c>
      <c r="D118" s="53"/>
      <c r="E118" s="52"/>
      <c r="F118" s="103" t="s">
        <v>454</v>
      </c>
      <c r="G118" s="52" t="s">
        <v>458</v>
      </c>
      <c r="H118" s="52"/>
      <c r="I118" s="52"/>
      <c r="J118" s="52"/>
      <c r="K118" s="52"/>
      <c r="L118" s="19"/>
      <c r="M118" s="52"/>
      <c r="N118" s="19"/>
      <c r="O118" s="52"/>
      <c r="P118" s="19"/>
      <c r="Q118" s="52"/>
      <c r="R118" s="19"/>
      <c r="S118" s="52"/>
      <c r="T118" s="19"/>
      <c r="U118" s="56"/>
      <c r="V118" s="19"/>
      <c r="W118" s="56"/>
      <c r="X118" s="52"/>
      <c r="Y118" s="52"/>
      <c r="Z118" s="52"/>
      <c r="AA118" s="52"/>
      <c r="AB118" s="52"/>
      <c r="AC118" s="52"/>
    </row>
    <row r="119" spans="1:29" x14ac:dyDescent="0.25">
      <c r="A119" s="114" t="s">
        <v>384</v>
      </c>
      <c r="B119" s="109" t="s">
        <v>385</v>
      </c>
      <c r="C119" s="103" t="s">
        <v>244</v>
      </c>
      <c r="D119" s="53"/>
      <c r="E119" s="52" t="s">
        <v>300</v>
      </c>
      <c r="F119" s="103" t="s">
        <v>249</v>
      </c>
      <c r="G119" s="52" t="s">
        <v>458</v>
      </c>
      <c r="H119" s="52"/>
      <c r="I119" s="52"/>
      <c r="J119" s="52"/>
      <c r="K119" s="52"/>
      <c r="L119" s="19"/>
      <c r="M119" s="52"/>
      <c r="N119" s="19"/>
      <c r="O119" s="52"/>
      <c r="P119" s="19"/>
      <c r="Q119" s="52"/>
      <c r="R119" s="19"/>
      <c r="S119" s="52"/>
      <c r="T119" s="19"/>
      <c r="U119" s="56"/>
      <c r="V119" s="19"/>
      <c r="W119" s="56"/>
      <c r="X119" s="52"/>
      <c r="Y119" s="52"/>
      <c r="Z119" s="52"/>
      <c r="AA119" s="52"/>
      <c r="AB119" s="52"/>
      <c r="AC119" s="52"/>
    </row>
    <row r="120" spans="1:29" x14ac:dyDescent="0.25">
      <c r="A120" s="114" t="s">
        <v>279</v>
      </c>
      <c r="B120" s="109" t="s">
        <v>280</v>
      </c>
      <c r="C120" s="103" t="s">
        <v>244</v>
      </c>
      <c r="D120" s="53"/>
      <c r="E120" s="52"/>
      <c r="F120" s="103" t="s">
        <v>249</v>
      </c>
      <c r="G120" s="52"/>
      <c r="H120" s="52"/>
      <c r="I120" s="52"/>
      <c r="J120" s="52"/>
      <c r="K120" s="52"/>
      <c r="L120" s="19"/>
      <c r="M120" s="52"/>
      <c r="N120" s="19"/>
      <c r="O120" s="52"/>
      <c r="P120" s="19"/>
      <c r="Q120" s="52"/>
      <c r="R120" s="19"/>
      <c r="S120" s="52"/>
      <c r="T120" s="19"/>
      <c r="U120" s="85"/>
      <c r="V120" s="19"/>
      <c r="W120" s="85"/>
      <c r="X120" s="52"/>
      <c r="Y120" s="52"/>
      <c r="Z120" s="52"/>
      <c r="AA120" s="52"/>
      <c r="AB120" s="52"/>
      <c r="AC120" s="52"/>
    </row>
    <row r="121" spans="1:29" x14ac:dyDescent="0.25">
      <c r="A121" s="114" t="s">
        <v>349</v>
      </c>
      <c r="B121" s="109" t="s">
        <v>350</v>
      </c>
      <c r="C121" s="103" t="s">
        <v>244</v>
      </c>
      <c r="D121" s="53"/>
      <c r="E121" s="52" t="s">
        <v>300</v>
      </c>
      <c r="F121" s="103" t="s">
        <v>249</v>
      </c>
      <c r="G121" s="52"/>
      <c r="H121" s="52"/>
      <c r="I121" s="52"/>
      <c r="J121" s="52"/>
      <c r="K121" s="52"/>
      <c r="L121" s="19"/>
      <c r="M121" s="52"/>
      <c r="N121" s="19"/>
      <c r="O121" s="52"/>
      <c r="P121" s="19"/>
      <c r="Q121" s="52"/>
      <c r="R121" s="19"/>
      <c r="S121" s="52"/>
      <c r="T121" s="19"/>
      <c r="U121" s="85"/>
      <c r="V121" s="19"/>
      <c r="W121" s="85"/>
      <c r="X121" s="52"/>
      <c r="Y121" s="52"/>
      <c r="Z121" s="52"/>
      <c r="AA121" s="52"/>
      <c r="AB121" s="52"/>
      <c r="AC121" s="52"/>
    </row>
    <row r="122" spans="1:29" x14ac:dyDescent="0.25">
      <c r="A122" s="114" t="s">
        <v>258</v>
      </c>
      <c r="B122" s="109" t="s">
        <v>261</v>
      </c>
      <c r="C122" s="103" t="s">
        <v>244</v>
      </c>
      <c r="D122" s="53"/>
      <c r="E122" s="52" t="s">
        <v>300</v>
      </c>
      <c r="F122" s="103" t="s">
        <v>303</v>
      </c>
      <c r="G122" s="52"/>
      <c r="H122" s="52"/>
      <c r="I122" s="52"/>
      <c r="J122" s="52"/>
      <c r="K122" s="52"/>
      <c r="L122" s="19"/>
      <c r="M122" s="52"/>
      <c r="N122" s="19"/>
      <c r="O122" s="52"/>
      <c r="P122" s="19"/>
      <c r="Q122" s="52"/>
      <c r="R122" s="19"/>
      <c r="S122" s="52"/>
      <c r="T122" s="19"/>
      <c r="U122" s="56"/>
      <c r="V122" s="19"/>
      <c r="W122" s="56"/>
      <c r="X122" s="52"/>
      <c r="Y122" s="52"/>
      <c r="Z122" s="52"/>
      <c r="AA122" s="52"/>
      <c r="AB122" s="52"/>
      <c r="AC122" s="52"/>
    </row>
    <row r="123" spans="1:29" x14ac:dyDescent="0.25">
      <c r="A123" s="114" t="s">
        <v>351</v>
      </c>
      <c r="B123" s="109" t="s">
        <v>352</v>
      </c>
      <c r="C123" s="103" t="s">
        <v>273</v>
      </c>
      <c r="D123" s="53"/>
      <c r="E123" s="52" t="s">
        <v>300</v>
      </c>
      <c r="F123" s="103" t="s">
        <v>249</v>
      </c>
      <c r="G123" s="52" t="s">
        <v>300</v>
      </c>
      <c r="H123" s="52"/>
      <c r="I123" s="52"/>
      <c r="J123" s="52"/>
      <c r="K123" s="52"/>
      <c r="L123" s="19"/>
      <c r="M123" s="52"/>
      <c r="N123" s="19"/>
      <c r="O123" s="52"/>
      <c r="P123" s="19"/>
      <c r="Q123" s="52"/>
      <c r="R123" s="19"/>
      <c r="S123" s="52"/>
      <c r="T123" s="19"/>
      <c r="U123" s="56"/>
      <c r="V123" s="19"/>
      <c r="W123" s="56"/>
      <c r="X123" s="52"/>
      <c r="Y123" s="52"/>
      <c r="Z123" s="52"/>
      <c r="AA123" s="52"/>
      <c r="AB123" s="52"/>
      <c r="AC123" s="52"/>
    </row>
    <row r="124" spans="1:29" x14ac:dyDescent="0.25">
      <c r="A124" s="114" t="s">
        <v>281</v>
      </c>
      <c r="B124" s="109" t="s">
        <v>282</v>
      </c>
      <c r="C124" s="103" t="s">
        <v>273</v>
      </c>
      <c r="D124" s="53" t="s">
        <v>310</v>
      </c>
      <c r="E124" s="52" t="s">
        <v>300</v>
      </c>
      <c r="F124" s="103" t="s">
        <v>244</v>
      </c>
      <c r="G124" s="52"/>
      <c r="H124" s="52"/>
      <c r="I124" s="52"/>
      <c r="J124" s="52"/>
      <c r="K124" s="52"/>
      <c r="L124" s="19"/>
      <c r="M124" s="52"/>
      <c r="N124" s="19"/>
      <c r="O124" s="52"/>
      <c r="P124" s="19"/>
      <c r="Q124" s="52"/>
      <c r="R124" s="19"/>
      <c r="S124" s="52"/>
      <c r="T124" s="19"/>
      <c r="U124" s="56"/>
      <c r="V124" s="19"/>
      <c r="W124" s="85"/>
      <c r="X124" s="52"/>
      <c r="Y124" s="52"/>
      <c r="Z124" s="52"/>
      <c r="AA124" s="52"/>
      <c r="AB124" s="52"/>
      <c r="AC124" s="52"/>
    </row>
    <row r="125" spans="1:29" x14ac:dyDescent="0.25">
      <c r="A125" s="114" t="s">
        <v>386</v>
      </c>
      <c r="B125" s="109" t="s">
        <v>387</v>
      </c>
      <c r="C125" s="103" t="s">
        <v>244</v>
      </c>
      <c r="D125" s="53"/>
      <c r="E125" s="52" t="s">
        <v>300</v>
      </c>
      <c r="F125" s="103" t="s">
        <v>454</v>
      </c>
      <c r="G125" s="52" t="s">
        <v>458</v>
      </c>
      <c r="H125" s="52"/>
      <c r="I125" s="52"/>
      <c r="J125" s="52"/>
      <c r="K125" s="52"/>
      <c r="L125" s="19"/>
      <c r="M125" s="52"/>
      <c r="N125" s="19"/>
      <c r="O125" s="52"/>
      <c r="P125" s="19"/>
      <c r="Q125" s="52"/>
      <c r="R125" s="19"/>
      <c r="S125" s="52"/>
      <c r="T125" s="19"/>
      <c r="U125" s="84"/>
      <c r="V125" s="19"/>
      <c r="W125" s="85"/>
      <c r="X125" s="52"/>
      <c r="Y125" s="52"/>
      <c r="Z125" s="52"/>
      <c r="AA125" s="52"/>
      <c r="AB125" s="52"/>
      <c r="AC125" s="52"/>
    </row>
    <row r="126" spans="1:29" x14ac:dyDescent="0.25">
      <c r="A126" s="114" t="s">
        <v>419</v>
      </c>
      <c r="B126" s="109" t="s">
        <v>420</v>
      </c>
      <c r="C126" s="103" t="s">
        <v>244</v>
      </c>
      <c r="D126" s="53"/>
      <c r="E126" s="52"/>
      <c r="F126" s="103" t="s">
        <v>249</v>
      </c>
      <c r="G126" s="52" t="s">
        <v>458</v>
      </c>
      <c r="H126" s="52"/>
      <c r="I126" s="52"/>
      <c r="J126" s="52"/>
      <c r="K126" s="52"/>
      <c r="L126" s="19"/>
      <c r="M126" s="52"/>
      <c r="N126" s="19"/>
      <c r="O126" s="52"/>
      <c r="P126" s="19"/>
      <c r="Q126" s="52"/>
      <c r="R126" s="19"/>
      <c r="S126" s="52"/>
      <c r="T126" s="19"/>
      <c r="U126" s="56"/>
      <c r="V126" s="19"/>
      <c r="W126" s="56"/>
      <c r="X126" s="52"/>
      <c r="Y126" s="52"/>
      <c r="Z126" s="52"/>
      <c r="AA126" s="52"/>
      <c r="AB126" s="52"/>
      <c r="AC126" s="52"/>
    </row>
    <row r="127" spans="1:29" x14ac:dyDescent="0.25">
      <c r="A127" s="114" t="s">
        <v>388</v>
      </c>
      <c r="B127" s="109" t="s">
        <v>389</v>
      </c>
      <c r="C127" s="103" t="s">
        <v>244</v>
      </c>
      <c r="D127" s="53"/>
      <c r="E127" s="52"/>
      <c r="F127" s="103" t="s">
        <v>244</v>
      </c>
      <c r="G127" s="52"/>
      <c r="H127" s="52"/>
      <c r="I127" s="52"/>
      <c r="J127" s="52"/>
      <c r="K127" s="52"/>
      <c r="L127" s="19"/>
      <c r="M127" s="52"/>
      <c r="N127" s="19"/>
      <c r="O127" s="52"/>
      <c r="P127" s="19"/>
      <c r="Q127" s="52"/>
      <c r="R127" s="19"/>
      <c r="S127" s="52"/>
      <c r="T127" s="19"/>
      <c r="U127" s="56"/>
      <c r="V127" s="19"/>
      <c r="W127" s="56"/>
      <c r="X127" s="52"/>
      <c r="Y127" s="52"/>
      <c r="Z127" s="52"/>
      <c r="AA127" s="52"/>
      <c r="AB127" s="52"/>
      <c r="AC127" s="52"/>
    </row>
    <row r="128" spans="1:29" x14ac:dyDescent="0.25">
      <c r="A128" s="114" t="s">
        <v>380</v>
      </c>
      <c r="B128" s="109" t="s">
        <v>381</v>
      </c>
      <c r="C128" s="103" t="s">
        <v>244</v>
      </c>
      <c r="D128" s="53"/>
      <c r="E128" s="52"/>
      <c r="F128" s="103" t="s">
        <v>249</v>
      </c>
      <c r="G128" s="52" t="s">
        <v>458</v>
      </c>
      <c r="H128" s="52"/>
      <c r="I128" s="52"/>
      <c r="J128" s="52"/>
      <c r="K128" s="52"/>
      <c r="L128" s="19"/>
      <c r="M128" s="52"/>
      <c r="N128" s="19"/>
      <c r="O128" s="52"/>
      <c r="P128" s="19"/>
      <c r="Q128" s="52"/>
      <c r="R128" s="19"/>
      <c r="S128" s="52"/>
      <c r="T128" s="19"/>
      <c r="U128" s="56"/>
      <c r="V128" s="19"/>
      <c r="W128" s="56"/>
      <c r="X128" s="52"/>
      <c r="Y128" s="52"/>
      <c r="Z128" s="52"/>
      <c r="AA128" s="52"/>
      <c r="AB128" s="52"/>
      <c r="AC128" s="52"/>
    </row>
    <row r="129" spans="1:29" x14ac:dyDescent="0.25">
      <c r="A129" s="114" t="s">
        <v>390</v>
      </c>
      <c r="B129" s="109" t="s">
        <v>392</v>
      </c>
      <c r="C129" s="103" t="s">
        <v>273</v>
      </c>
      <c r="D129" s="53"/>
      <c r="E129" s="52" t="s">
        <v>300</v>
      </c>
      <c r="F129" s="103" t="s">
        <v>249</v>
      </c>
      <c r="G129" s="52"/>
      <c r="H129" s="52"/>
      <c r="I129" s="52"/>
      <c r="J129" s="52"/>
      <c r="K129" s="52"/>
      <c r="L129" s="19"/>
      <c r="M129" s="52"/>
      <c r="N129" s="19"/>
      <c r="O129" s="52"/>
      <c r="P129" s="19"/>
      <c r="Q129" s="52"/>
      <c r="R129" s="19"/>
      <c r="S129" s="52"/>
      <c r="T129" s="19"/>
      <c r="U129" s="56"/>
      <c r="V129" s="19"/>
      <c r="W129" s="56"/>
      <c r="X129" s="52"/>
      <c r="Y129" s="52"/>
      <c r="Z129" s="52"/>
      <c r="AA129" s="52"/>
      <c r="AB129" s="52"/>
      <c r="AC129" s="52"/>
    </row>
    <row r="130" spans="1:29" x14ac:dyDescent="0.25">
      <c r="A130" s="114" t="s">
        <v>391</v>
      </c>
      <c r="B130" s="109" t="s">
        <v>393</v>
      </c>
      <c r="C130" s="103" t="s">
        <v>272</v>
      </c>
      <c r="D130" s="53"/>
      <c r="E130" s="52"/>
      <c r="F130" s="103" t="s">
        <v>244</v>
      </c>
      <c r="G130" s="52"/>
      <c r="H130" s="52"/>
      <c r="I130" s="52"/>
      <c r="J130" s="52"/>
      <c r="K130" s="52"/>
      <c r="L130" s="19"/>
      <c r="M130" s="52"/>
      <c r="N130" s="19"/>
      <c r="O130" s="52"/>
      <c r="P130" s="19"/>
      <c r="Q130" s="52"/>
      <c r="R130" s="19"/>
      <c r="S130" s="52"/>
      <c r="T130" s="19"/>
      <c r="U130" s="85"/>
      <c r="V130" s="19"/>
      <c r="W130" s="85"/>
      <c r="X130" s="52"/>
      <c r="Y130" s="52"/>
      <c r="Z130" s="52"/>
      <c r="AA130" s="52"/>
      <c r="AB130" s="52"/>
      <c r="AC130" s="52"/>
    </row>
    <row r="131" spans="1:29" x14ac:dyDescent="0.25">
      <c r="A131" s="114" t="s">
        <v>411</v>
      </c>
      <c r="B131" s="109" t="s">
        <v>412</v>
      </c>
      <c r="C131" s="103" t="s">
        <v>244</v>
      </c>
      <c r="D131" s="53"/>
      <c r="E131" s="52"/>
      <c r="F131" s="19" t="s">
        <v>454</v>
      </c>
      <c r="G131" s="52" t="s">
        <v>459</v>
      </c>
      <c r="H131" s="52"/>
      <c r="I131" s="52"/>
      <c r="J131" s="52"/>
      <c r="K131" s="52"/>
      <c r="L131" s="19"/>
      <c r="M131" s="52"/>
      <c r="N131" s="19"/>
      <c r="O131" s="52"/>
      <c r="P131" s="19"/>
      <c r="Q131" s="52"/>
      <c r="R131" s="19"/>
      <c r="S131" s="52"/>
      <c r="T131" s="19"/>
      <c r="U131" s="85"/>
      <c r="V131" s="19"/>
      <c r="W131" s="85"/>
      <c r="X131" s="52"/>
      <c r="Y131" s="52"/>
      <c r="Z131" s="52"/>
      <c r="AA131" s="52"/>
      <c r="AB131" s="52"/>
      <c r="AC131" s="52"/>
    </row>
    <row r="132" spans="1:29" x14ac:dyDescent="0.25">
      <c r="A132" s="114" t="s">
        <v>403</v>
      </c>
      <c r="B132" s="109" t="s">
        <v>404</v>
      </c>
      <c r="C132" s="103" t="s">
        <v>273</v>
      </c>
      <c r="D132" s="53"/>
      <c r="E132" s="52"/>
      <c r="F132" s="103" t="s">
        <v>454</v>
      </c>
      <c r="G132" s="52" t="s">
        <v>300</v>
      </c>
      <c r="H132" s="52"/>
      <c r="I132" s="52"/>
      <c r="J132" s="52"/>
      <c r="K132" s="52"/>
      <c r="L132" s="19"/>
      <c r="M132" s="52"/>
      <c r="N132" s="19"/>
      <c r="O132" s="52"/>
      <c r="P132" s="19"/>
      <c r="Q132" s="52"/>
      <c r="R132" s="19"/>
      <c r="S132" s="52"/>
      <c r="T132" s="19"/>
      <c r="U132" s="85"/>
      <c r="V132" s="19"/>
      <c r="W132" s="85"/>
      <c r="X132" s="52"/>
      <c r="Y132" s="52"/>
      <c r="Z132" s="52"/>
      <c r="AA132" s="52"/>
      <c r="AB132" s="52"/>
      <c r="AC132" s="52"/>
    </row>
    <row r="133" spans="1:29" x14ac:dyDescent="0.25">
      <c r="A133" s="114" t="s">
        <v>394</v>
      </c>
      <c r="B133" s="109" t="s">
        <v>395</v>
      </c>
      <c r="C133" s="103" t="s">
        <v>244</v>
      </c>
      <c r="D133" s="53"/>
      <c r="E133" s="52"/>
      <c r="F133" s="103" t="s">
        <v>249</v>
      </c>
      <c r="G133" s="52" t="s">
        <v>459</v>
      </c>
      <c r="H133" s="52"/>
      <c r="I133" s="52"/>
      <c r="J133" s="52"/>
      <c r="K133" s="52"/>
      <c r="L133" s="19"/>
      <c r="M133" s="52"/>
      <c r="N133" s="19"/>
      <c r="O133" s="52"/>
      <c r="P133" s="19"/>
      <c r="Q133" s="52"/>
      <c r="R133" s="19"/>
      <c r="S133" s="52"/>
      <c r="T133" s="19"/>
      <c r="U133" s="85"/>
      <c r="V133" s="19"/>
      <c r="W133" s="85"/>
      <c r="X133" s="52"/>
      <c r="Y133" s="52"/>
      <c r="Z133" s="52"/>
      <c r="AA133" s="52"/>
      <c r="AB133" s="52"/>
      <c r="AC133" s="52"/>
    </row>
    <row r="134" spans="1:29" x14ac:dyDescent="0.25">
      <c r="A134" s="114" t="s">
        <v>396</v>
      </c>
      <c r="B134" s="109" t="s">
        <v>397</v>
      </c>
      <c r="C134" s="103" t="s">
        <v>244</v>
      </c>
      <c r="D134" s="53"/>
      <c r="E134" s="52"/>
      <c r="F134" s="103" t="s">
        <v>249</v>
      </c>
      <c r="G134" s="52"/>
      <c r="H134" s="52"/>
      <c r="I134" s="52"/>
      <c r="J134" s="52"/>
      <c r="K134" s="52"/>
      <c r="L134" s="19"/>
      <c r="M134" s="52"/>
      <c r="N134" s="19"/>
      <c r="O134" s="52"/>
      <c r="P134" s="19"/>
      <c r="Q134" s="52"/>
      <c r="R134" s="19"/>
      <c r="S134" s="52"/>
      <c r="T134" s="19"/>
      <c r="U134" s="85"/>
      <c r="V134" s="19"/>
      <c r="W134" s="85"/>
      <c r="X134" s="52"/>
      <c r="Y134" s="52"/>
      <c r="Z134" s="52"/>
      <c r="AA134" s="52"/>
      <c r="AB134" s="52"/>
      <c r="AC134" s="52"/>
    </row>
    <row r="135" spans="1:29" x14ac:dyDescent="0.25">
      <c r="A135" s="114" t="s">
        <v>401</v>
      </c>
      <c r="B135" s="109" t="s">
        <v>402</v>
      </c>
      <c r="C135" s="103" t="s">
        <v>272</v>
      </c>
      <c r="D135" s="53"/>
      <c r="E135" s="52"/>
      <c r="F135" s="103" t="s">
        <v>454</v>
      </c>
      <c r="G135" s="52"/>
      <c r="H135" s="52"/>
      <c r="I135" s="52"/>
      <c r="J135" s="52"/>
      <c r="K135" s="52"/>
      <c r="L135" s="19"/>
      <c r="M135" s="52"/>
      <c r="N135" s="19"/>
      <c r="O135" s="52"/>
      <c r="P135" s="19"/>
      <c r="Q135" s="52"/>
      <c r="R135" s="19"/>
      <c r="S135" s="52"/>
      <c r="T135" s="19"/>
      <c r="U135" s="85"/>
      <c r="V135" s="19"/>
      <c r="W135" s="85"/>
      <c r="X135" s="52"/>
      <c r="Y135" s="52"/>
      <c r="Z135" s="52"/>
      <c r="AA135" s="52"/>
      <c r="AB135" s="52"/>
      <c r="AC135" s="52"/>
    </row>
    <row r="136" spans="1:29" x14ac:dyDescent="0.25">
      <c r="A136" s="114" t="s">
        <v>456</v>
      </c>
      <c r="B136" s="109" t="s">
        <v>457</v>
      </c>
      <c r="C136" s="103" t="s">
        <v>249</v>
      </c>
      <c r="D136" s="53"/>
      <c r="E136" s="52"/>
      <c r="F136" s="103" t="s">
        <v>454</v>
      </c>
      <c r="G136" s="52" t="s">
        <v>300</v>
      </c>
      <c r="H136" s="52"/>
      <c r="I136" s="52"/>
      <c r="J136" s="52"/>
      <c r="K136" s="52"/>
      <c r="L136" s="19"/>
      <c r="M136" s="52"/>
      <c r="N136" s="19"/>
      <c r="O136" s="52"/>
      <c r="P136" s="19"/>
      <c r="Q136" s="52"/>
      <c r="R136" s="19"/>
      <c r="S136" s="52"/>
      <c r="T136" s="19"/>
      <c r="U136" s="85"/>
      <c r="V136" s="19"/>
      <c r="W136" s="85"/>
      <c r="X136" s="52"/>
      <c r="Y136" s="52"/>
      <c r="Z136" s="52"/>
      <c r="AA136" s="52"/>
      <c r="AB136" s="52"/>
      <c r="AC136" s="52"/>
    </row>
    <row r="137" spans="1:29" x14ac:dyDescent="0.25">
      <c r="A137" s="114" t="s">
        <v>421</v>
      </c>
      <c r="B137" s="109" t="s">
        <v>422</v>
      </c>
      <c r="C137" s="103" t="s">
        <v>244</v>
      </c>
      <c r="D137" s="53"/>
      <c r="E137" s="52"/>
      <c r="F137" s="103" t="s">
        <v>249</v>
      </c>
      <c r="G137" s="52"/>
      <c r="H137" s="52"/>
      <c r="I137" s="52"/>
      <c r="J137" s="52"/>
      <c r="K137" s="52"/>
      <c r="L137" s="19"/>
      <c r="M137" s="52"/>
      <c r="N137" s="19"/>
      <c r="O137" s="52"/>
      <c r="P137" s="19"/>
      <c r="Q137" s="52"/>
      <c r="R137" s="19"/>
      <c r="S137" s="52"/>
      <c r="T137" s="19"/>
      <c r="U137" s="85"/>
      <c r="V137" s="19"/>
      <c r="W137" s="85"/>
      <c r="X137" s="52"/>
      <c r="Y137" s="52"/>
      <c r="Z137" s="52"/>
      <c r="AA137" s="52"/>
      <c r="AB137" s="52"/>
      <c r="AC137" s="52"/>
    </row>
    <row r="138" spans="1:29" x14ac:dyDescent="0.25">
      <c r="A138" s="114" t="s">
        <v>291</v>
      </c>
      <c r="B138" s="109" t="s">
        <v>294</v>
      </c>
      <c r="C138" s="103" t="s">
        <v>249</v>
      </c>
      <c r="D138" s="53"/>
      <c r="E138" s="52"/>
      <c r="F138" s="103" t="s">
        <v>249</v>
      </c>
      <c r="G138" s="52"/>
      <c r="H138" s="52"/>
      <c r="I138" s="52"/>
      <c r="J138" s="52"/>
      <c r="K138" s="52"/>
      <c r="L138" s="19"/>
      <c r="M138" s="52"/>
      <c r="N138" s="19"/>
      <c r="O138" s="52"/>
      <c r="P138" s="19"/>
      <c r="Q138" s="52"/>
      <c r="R138" s="19"/>
      <c r="S138" s="52"/>
      <c r="T138" s="19"/>
      <c r="U138" s="85"/>
      <c r="V138" s="19"/>
      <c r="W138" s="85"/>
      <c r="X138" s="52"/>
      <c r="Y138" s="52"/>
      <c r="Z138" s="52"/>
      <c r="AA138" s="52"/>
      <c r="AB138" s="52"/>
      <c r="AC138" s="52"/>
    </row>
    <row r="139" spans="1:29" x14ac:dyDescent="0.25">
      <c r="A139" s="114" t="s">
        <v>291</v>
      </c>
      <c r="B139" s="109" t="s">
        <v>292</v>
      </c>
      <c r="C139" s="103" t="s">
        <v>272</v>
      </c>
      <c r="D139" s="53"/>
      <c r="E139" s="52" t="s">
        <v>300</v>
      </c>
      <c r="F139" s="103" t="s">
        <v>249</v>
      </c>
      <c r="G139" s="52"/>
      <c r="H139" s="52"/>
      <c r="I139" s="52"/>
      <c r="J139" s="52"/>
      <c r="K139" s="52"/>
      <c r="L139" s="19"/>
      <c r="M139" s="52"/>
      <c r="N139" s="19"/>
      <c r="O139" s="52"/>
      <c r="P139" s="19"/>
      <c r="Q139" s="52"/>
      <c r="R139" s="19"/>
      <c r="S139" s="52"/>
      <c r="T139" s="19"/>
      <c r="U139" s="85"/>
      <c r="V139" s="19"/>
      <c r="W139" s="85"/>
      <c r="X139" s="52"/>
      <c r="Y139" s="52"/>
      <c r="Z139" s="52"/>
      <c r="AA139" s="52"/>
      <c r="AB139" s="52"/>
      <c r="AC139" s="52"/>
    </row>
    <row r="140" spans="1:29" x14ac:dyDescent="0.25">
      <c r="A140" s="114" t="s">
        <v>291</v>
      </c>
      <c r="B140" s="109" t="s">
        <v>293</v>
      </c>
      <c r="C140" s="103" t="s">
        <v>244</v>
      </c>
      <c r="D140" s="53"/>
      <c r="E140" s="52" t="s">
        <v>300</v>
      </c>
      <c r="F140" s="103" t="s">
        <v>249</v>
      </c>
      <c r="G140" s="52"/>
      <c r="H140" s="52"/>
      <c r="I140" s="52"/>
      <c r="J140" s="52"/>
      <c r="K140" s="52"/>
      <c r="L140" s="19"/>
      <c r="M140" s="52"/>
      <c r="N140" s="19"/>
      <c r="O140" s="52"/>
      <c r="P140" s="19"/>
      <c r="Q140" s="52"/>
      <c r="R140" s="19"/>
      <c r="S140" s="52"/>
      <c r="T140" s="19"/>
      <c r="U140" s="84"/>
      <c r="V140" s="19"/>
      <c r="W140" s="84"/>
      <c r="X140" s="52"/>
      <c r="Y140" s="52"/>
      <c r="Z140" s="52"/>
      <c r="AA140" s="52"/>
      <c r="AB140" s="52"/>
      <c r="AC140" s="52"/>
    </row>
    <row r="141" spans="1:29" x14ac:dyDescent="0.25">
      <c r="A141" s="114" t="s">
        <v>291</v>
      </c>
      <c r="B141" s="109" t="s">
        <v>295</v>
      </c>
      <c r="C141" s="103" t="s">
        <v>249</v>
      </c>
      <c r="D141" s="53"/>
      <c r="E141" s="52" t="s">
        <v>300</v>
      </c>
      <c r="F141" s="103" t="s">
        <v>249</v>
      </c>
      <c r="G141" s="52"/>
      <c r="H141" s="52"/>
      <c r="I141" s="52"/>
      <c r="J141" s="52"/>
      <c r="K141" s="52"/>
      <c r="L141" s="19"/>
      <c r="M141" s="52"/>
      <c r="N141" s="19"/>
      <c r="O141" s="52"/>
      <c r="P141" s="19"/>
      <c r="Q141" s="52"/>
      <c r="R141" s="19"/>
      <c r="S141" s="52"/>
      <c r="T141" s="19"/>
      <c r="U141" s="56"/>
      <c r="V141" s="19"/>
      <c r="W141" s="56"/>
      <c r="X141" s="52"/>
      <c r="Y141" s="52"/>
      <c r="Z141" s="52"/>
      <c r="AA141" s="52"/>
      <c r="AB141" s="52"/>
      <c r="AC141" s="52"/>
    </row>
    <row r="144" spans="1:29" x14ac:dyDescent="0.25">
      <c r="N144" s="25" t="s">
        <v>299</v>
      </c>
    </row>
    <row r="145" spans="3:28" x14ac:dyDescent="0.25">
      <c r="G145" s="25" t="s">
        <v>299</v>
      </c>
    </row>
    <row r="153" spans="3:28" x14ac:dyDescent="0.25">
      <c r="C153" s="51" t="s">
        <v>299</v>
      </c>
    </row>
    <row r="154" spans="3:28" x14ac:dyDescent="0.25">
      <c r="F154" s="25" t="s">
        <v>299</v>
      </c>
      <c r="H154" s="25" t="s">
        <v>299</v>
      </c>
      <c r="J154" s="25" t="s">
        <v>299</v>
      </c>
      <c r="L154" s="25" t="s">
        <v>299</v>
      </c>
      <c r="N154" s="25" t="s">
        <v>299</v>
      </c>
    </row>
    <row r="155" spans="3:28" x14ac:dyDescent="0.25">
      <c r="P155" s="25" t="s">
        <v>299</v>
      </c>
      <c r="R155" s="25" t="s">
        <v>299</v>
      </c>
      <c r="T155" s="25" t="s">
        <v>299</v>
      </c>
      <c r="V155" s="25" t="s">
        <v>299</v>
      </c>
      <c r="X155" s="25" t="s">
        <v>299</v>
      </c>
      <c r="Z155" s="25" t="s">
        <v>299</v>
      </c>
      <c r="AB155" s="25" t="s">
        <v>299</v>
      </c>
    </row>
  </sheetData>
  <autoFilter ref="A1:AB141" xr:uid="{00000000-0009-0000-0000-000003000000}">
    <filterColumn colId="0" showButton="0"/>
  </autoFilter>
  <mergeCells count="28">
    <mergeCell ref="M1:M3"/>
    <mergeCell ref="A1:B2"/>
    <mergeCell ref="C1:C3"/>
    <mergeCell ref="D1:D3"/>
    <mergeCell ref="E1:E3"/>
    <mergeCell ref="F1:F2"/>
    <mergeCell ref="G1:G3"/>
    <mergeCell ref="H1:H2"/>
    <mergeCell ref="I1:I3"/>
    <mergeCell ref="J1:J2"/>
    <mergeCell ref="K1:K3"/>
    <mergeCell ref="L1:L2"/>
    <mergeCell ref="Z1:Z2"/>
    <mergeCell ref="AA1:AA3"/>
    <mergeCell ref="AB1:AB2"/>
    <mergeCell ref="A3:B3"/>
    <mergeCell ref="T1:T2"/>
    <mergeCell ref="U1:U3"/>
    <mergeCell ref="V1:V2"/>
    <mergeCell ref="W1:W3"/>
    <mergeCell ref="X1:X2"/>
    <mergeCell ref="Y1:Y3"/>
    <mergeCell ref="N1:N2"/>
    <mergeCell ref="O1:O3"/>
    <mergeCell ref="P1:P2"/>
    <mergeCell ref="Q1:Q3"/>
    <mergeCell ref="R1:R2"/>
    <mergeCell ref="S1:S3"/>
  </mergeCells>
  <conditionalFormatting sqref="C1 C142:C1048576">
    <cfRule type="containsText" dxfId="1829" priority="2889" operator="containsText" text="VACACIONES">
      <formula>NOT(ISERROR(SEARCH("VACACIONES",C1)))</formula>
    </cfRule>
    <cfRule type="containsText" dxfId="1828" priority="2890" operator="containsText" text="ICAVE">
      <formula>NOT(ISERROR(SEARCH("ICAVE",C1)))</formula>
    </cfRule>
    <cfRule type="containsText" priority="2891" operator="containsText" text="ICAVE">
      <formula>NOT(ISERROR(SEARCH("ICAVE",C1)))</formula>
    </cfRule>
    <cfRule type="containsText" dxfId="1827" priority="2892" operator="containsText" text="INCAPACIDAD">
      <formula>NOT(ISERROR(SEARCH("INCAPACIDAD",C1)))</formula>
    </cfRule>
    <cfRule type="containsText" dxfId="1826" priority="2893" operator="containsText" text="FALTA">
      <formula>NOT(ISERROR(SEARCH("FALTA",C1)))</formula>
    </cfRule>
    <cfRule type="containsText" dxfId="1825" priority="2894" operator="containsText" text="SANO">
      <formula>NOT(ISERROR(SEARCH("SANO",C1)))</formula>
    </cfRule>
    <cfRule type="containsText" priority="2895" operator="containsText" text="SANO">
      <formula>NOT(ISERROR(SEARCH("SANO",C1)))</formula>
    </cfRule>
    <cfRule type="containsText" dxfId="1824" priority="2896" operator="containsText" text="MEDIO">
      <formula>NOT(ISERROR(SEARCH("MEDIO",C1)))</formula>
    </cfRule>
    <cfRule type="containsText" dxfId="1823" priority="2897" operator="containsText" text="ALTO">
      <formula>NOT(ISERROR(SEARCH("ALTO",C1)))</formula>
    </cfRule>
  </conditionalFormatting>
  <conditionalFormatting sqref="C142:C149">
    <cfRule type="containsText" dxfId="1822" priority="3078" operator="containsText" text="SIN DATOS MAS DE UN AÑO">
      <formula>NOT(ISERROR(SEARCH("SIN DATOS MAS DE UN AÑO",C142)))</formula>
    </cfRule>
    <cfRule type="containsText" dxfId="1821" priority="3079" operator="containsText" text="SIN DATOS 2022">
      <formula>NOT(ISERROR(SEARCH("SIN DATOS 2022",C142)))</formula>
    </cfRule>
    <cfRule type="containsText" dxfId="1820" priority="3080" operator="containsText" text="ALTO">
      <formula>NOT(ISERROR(SEARCH("ALTO",C142)))</formula>
    </cfRule>
    <cfRule type="containsText" dxfId="1819" priority="3081" operator="containsText" text="MEDIO">
      <formula>NOT(ISERROR(SEARCH("MEDIO",C142)))</formula>
    </cfRule>
    <cfRule type="containsText" dxfId="1818" priority="3082" operator="containsText" text="SANO">
      <formula>NOT(ISERROR(SEARCH("SANO",C142)))</formula>
    </cfRule>
  </conditionalFormatting>
  <conditionalFormatting sqref="C1 C150:C1048576">
    <cfRule type="containsText" dxfId="1817" priority="3073" operator="containsText" text="SIN DATOS MAS DE UN AÑO">
      <formula>NOT(ISERROR(SEARCH("SIN DATOS MAS DE UN AÑO",C1)))</formula>
    </cfRule>
    <cfRule type="containsText" dxfId="1816" priority="3074" operator="containsText" text="SIN DATOS 2022">
      <formula>NOT(ISERROR(SEARCH("SIN DATOS 2022",C1)))</formula>
    </cfRule>
    <cfRule type="containsText" dxfId="1815" priority="3075" operator="containsText" text="ALTO">
      <formula>NOT(ISERROR(SEARCH("ALTO",C1)))</formula>
    </cfRule>
    <cfRule type="containsText" dxfId="1814" priority="3076" operator="containsText" text="MEDIO">
      <formula>NOT(ISERROR(SEARCH("MEDIO",C1)))</formula>
    </cfRule>
    <cfRule type="containsText" dxfId="1813" priority="3077" operator="containsText" text="SANO">
      <formula>NOT(ISERROR(SEARCH("SANO",C1)))</formula>
    </cfRule>
  </conditionalFormatting>
  <conditionalFormatting sqref="C1 C150:C1048576">
    <cfRule type="containsText" dxfId="1812" priority="3072" operator="containsText" text="FALTA">
      <formula>NOT(ISERROR(SEARCH("FALTA",C1)))</formula>
    </cfRule>
  </conditionalFormatting>
  <conditionalFormatting sqref="D95 D81 D91:D93 D112 L67:L69 L71:L78 N123 N139:N140 N5 L35 N104:N106 D83:D87 N12 L5:L14 D6:D25 L43:L49 D53:D79 T4:T77 P4:P78 R4:R78 V4:V78 L53:L58 L80:L81 N81 T79:T82 P80:P82 R80:R82 V80:V82 D107:D110 N108:N114 N116:N121 V84:V129 R84:R129 P84:P129 T84:T129 D120:D123 T140:T141 P140:P141 R140:R141 V140:V141 L139:L141 D138:D141 D27:D51 D99:D105 L93:L128 F4:F130">
    <cfRule type="containsText" dxfId="1811" priority="2962" operator="containsText" text="MEDIO">
      <formula>NOT(ISERROR(SEARCH("MEDIO",D4)))</formula>
    </cfRule>
  </conditionalFormatting>
  <conditionalFormatting sqref="D95 D81 D91:D93 D112 D83:D87 D6:D25 D53:D79 D107:D110 D120:D123 D138:D141 D27:D51 D99:D105">
    <cfRule type="containsText" dxfId="1810" priority="2959" operator="containsText" text="SANO">
      <formula>NOT(ISERROR(SEARCH("SANO",D6)))</formula>
    </cfRule>
    <cfRule type="containsText" dxfId="1809" priority="2960" operator="containsText" text="ALTO">
      <formula>NOT(ISERROR(SEARCH("ALTO",D6)))</formula>
    </cfRule>
    <cfRule type="containsText" dxfId="1808" priority="2961" operator="containsText" text="FALTA">
      <formula>NOT(ISERROR(SEARCH("FALTA",D6)))</formula>
    </cfRule>
  </conditionalFormatting>
  <conditionalFormatting sqref="D4:D5">
    <cfRule type="containsText" dxfId="1807" priority="2958" operator="containsText" text="MEDIO">
      <formula>NOT(ISERROR(SEARCH("MEDIO",D4)))</formula>
    </cfRule>
  </conditionalFormatting>
  <conditionalFormatting sqref="D4:D5">
    <cfRule type="containsText" dxfId="1806" priority="2955" operator="containsText" text="SANO">
      <formula>NOT(ISERROR(SEARCH("SANO",D4)))</formula>
    </cfRule>
    <cfRule type="containsText" dxfId="1805" priority="2956" operator="containsText" text="ALTO">
      <formula>NOT(ISERROR(SEARCH("ALTO",D4)))</formula>
    </cfRule>
    <cfRule type="containsText" dxfId="1804" priority="2957" operator="containsText" text="FALTA">
      <formula>NOT(ISERROR(SEARCH("FALTA",D4)))</formula>
    </cfRule>
  </conditionalFormatting>
  <conditionalFormatting sqref="D97:D98">
    <cfRule type="containsText" dxfId="1803" priority="2954" operator="containsText" text="MEDIO">
      <formula>NOT(ISERROR(SEARCH("MEDIO",D97)))</formula>
    </cfRule>
  </conditionalFormatting>
  <conditionalFormatting sqref="D97:D98">
    <cfRule type="containsText" dxfId="1802" priority="2951" operator="containsText" text="SANO">
      <formula>NOT(ISERROR(SEARCH("SANO",D97)))</formula>
    </cfRule>
    <cfRule type="containsText" dxfId="1801" priority="2952" operator="containsText" text="ALTO">
      <formula>NOT(ISERROR(SEARCH("ALTO",D97)))</formula>
    </cfRule>
    <cfRule type="containsText" dxfId="1800" priority="2953" operator="containsText" text="FALTA">
      <formula>NOT(ISERROR(SEARCH("FALTA",D97)))</formula>
    </cfRule>
  </conditionalFormatting>
  <conditionalFormatting sqref="D52">
    <cfRule type="containsText" dxfId="1799" priority="2950" operator="containsText" text="MEDIO">
      <formula>NOT(ISERROR(SEARCH("MEDIO",D52)))</formula>
    </cfRule>
  </conditionalFormatting>
  <conditionalFormatting sqref="D52">
    <cfRule type="containsText" dxfId="1798" priority="2947" operator="containsText" text="SANO">
      <formula>NOT(ISERROR(SEARCH("SANO",D52)))</formula>
    </cfRule>
    <cfRule type="containsText" dxfId="1797" priority="2948" operator="containsText" text="ALTO">
      <formula>NOT(ISERROR(SEARCH("ALTO",D52)))</formula>
    </cfRule>
    <cfRule type="containsText" dxfId="1796" priority="2949" operator="containsText" text="FALTA">
      <formula>NOT(ISERROR(SEARCH("FALTA",D52)))</formula>
    </cfRule>
  </conditionalFormatting>
  <conditionalFormatting sqref="D26">
    <cfRule type="containsText" dxfId="1795" priority="2946" operator="containsText" text="MEDIO">
      <formula>NOT(ISERROR(SEARCH("MEDIO",D26)))</formula>
    </cfRule>
  </conditionalFormatting>
  <conditionalFormatting sqref="D26">
    <cfRule type="containsText" dxfId="1794" priority="2943" operator="containsText" text="SANO">
      <formula>NOT(ISERROR(SEARCH("SANO",D26)))</formula>
    </cfRule>
    <cfRule type="containsText" dxfId="1793" priority="2944" operator="containsText" text="ALTO">
      <formula>NOT(ISERROR(SEARCH("ALTO",D26)))</formula>
    </cfRule>
    <cfRule type="containsText" dxfId="1792" priority="2945" operator="containsText" text="FALTA">
      <formula>NOT(ISERROR(SEARCH("FALTA",D26)))</formula>
    </cfRule>
  </conditionalFormatting>
  <conditionalFormatting sqref="D80">
    <cfRule type="containsText" dxfId="1791" priority="2942" operator="containsText" text="MEDIO">
      <formula>NOT(ISERROR(SEARCH("MEDIO",D80)))</formula>
    </cfRule>
  </conditionalFormatting>
  <conditionalFormatting sqref="D80">
    <cfRule type="containsText" dxfId="1790" priority="2939" operator="containsText" text="SANO">
      <formula>NOT(ISERROR(SEARCH("SANO",D80)))</formula>
    </cfRule>
    <cfRule type="containsText" dxfId="1789" priority="2940" operator="containsText" text="ALTO">
      <formula>NOT(ISERROR(SEARCH("ALTO",D80)))</formula>
    </cfRule>
    <cfRule type="containsText" dxfId="1788" priority="2941" operator="containsText" text="FALTA">
      <formula>NOT(ISERROR(SEARCH("FALTA",D80)))</formula>
    </cfRule>
  </conditionalFormatting>
  <conditionalFormatting sqref="D94">
    <cfRule type="containsText" dxfId="1787" priority="2934" operator="containsText" text="SIN DATOS MAS DE UN AÑO">
      <formula>NOT(ISERROR(SEARCH("SIN DATOS MAS DE UN AÑO",D94)))</formula>
    </cfRule>
    <cfRule type="containsText" dxfId="1786" priority="2935" operator="containsText" text="SIN DATOS 2022">
      <formula>NOT(ISERROR(SEARCH("SIN DATOS 2022",D94)))</formula>
    </cfRule>
    <cfRule type="containsText" dxfId="1785" priority="2936" operator="containsText" text="ALTO">
      <formula>NOT(ISERROR(SEARCH("ALTO",D94)))</formula>
    </cfRule>
    <cfRule type="containsText" dxfId="1784" priority="2937" operator="containsText" text="MEDIO">
      <formula>NOT(ISERROR(SEARCH("MEDIO",D94)))</formula>
    </cfRule>
    <cfRule type="containsText" dxfId="1783" priority="2938" operator="containsText" text="SANO">
      <formula>NOT(ISERROR(SEARCH("SANO",D94)))</formula>
    </cfRule>
  </conditionalFormatting>
  <conditionalFormatting sqref="D94">
    <cfRule type="containsText" dxfId="1782" priority="2932" operator="containsText" text="FALTA">
      <formula>NOT(ISERROR(SEARCH("FALTA",D94)))</formula>
    </cfRule>
    <cfRule type="containsText" dxfId="1781" priority="2933" operator="containsText" text="INCAPACIDAD">
      <formula>NOT(ISERROR(SEARCH("INCAPACIDAD",D94)))</formula>
    </cfRule>
  </conditionalFormatting>
  <conditionalFormatting sqref="D106">
    <cfRule type="containsText" dxfId="1780" priority="2931" operator="containsText" text="MEDIO">
      <formula>NOT(ISERROR(SEARCH("MEDIO",D106)))</formula>
    </cfRule>
  </conditionalFormatting>
  <conditionalFormatting sqref="D106">
    <cfRule type="containsText" dxfId="1779" priority="2928" operator="containsText" text="SANO">
      <formula>NOT(ISERROR(SEARCH("SANO",D106)))</formula>
    </cfRule>
    <cfRule type="containsText" dxfId="1778" priority="2929" operator="containsText" text="ALTO">
      <formula>NOT(ISERROR(SEARCH("ALTO",D106)))</formula>
    </cfRule>
    <cfRule type="containsText" dxfId="1777" priority="2930" operator="containsText" text="FALTA">
      <formula>NOT(ISERROR(SEARCH("FALTA",D106)))</formula>
    </cfRule>
  </conditionalFormatting>
  <conditionalFormatting sqref="D88">
    <cfRule type="containsText" dxfId="1776" priority="2923" operator="containsText" text="MEDIO">
      <formula>NOT(ISERROR(SEARCH("MEDIO",D88)))</formula>
    </cfRule>
  </conditionalFormatting>
  <conditionalFormatting sqref="D88">
    <cfRule type="containsText" dxfId="1775" priority="2920" operator="containsText" text="SANO">
      <formula>NOT(ISERROR(SEARCH("SANO",D88)))</formula>
    </cfRule>
    <cfRule type="containsText" dxfId="1774" priority="2921" operator="containsText" text="ALTO">
      <formula>NOT(ISERROR(SEARCH("ALTO",D88)))</formula>
    </cfRule>
    <cfRule type="containsText" dxfId="1773" priority="2922" operator="containsText" text="FALTA">
      <formula>NOT(ISERROR(SEARCH("FALTA",D88)))</formula>
    </cfRule>
  </conditionalFormatting>
  <conditionalFormatting sqref="D90">
    <cfRule type="containsText" dxfId="1772" priority="2919" operator="containsText" text="MEDIO">
      <formula>NOT(ISERROR(SEARCH("MEDIO",D90)))</formula>
    </cfRule>
  </conditionalFormatting>
  <conditionalFormatting sqref="D90">
    <cfRule type="containsText" dxfId="1771" priority="2916" operator="containsText" text="SANO">
      <formula>NOT(ISERROR(SEARCH("SANO",D90)))</formula>
    </cfRule>
    <cfRule type="containsText" dxfId="1770" priority="2917" operator="containsText" text="ALTO">
      <formula>NOT(ISERROR(SEARCH("ALTO",D90)))</formula>
    </cfRule>
    <cfRule type="containsText" dxfId="1769" priority="2918" operator="containsText" text="FALTA">
      <formula>NOT(ISERROR(SEARCH("FALTA",D90)))</formula>
    </cfRule>
  </conditionalFormatting>
  <conditionalFormatting sqref="D96">
    <cfRule type="containsText" dxfId="1768" priority="2915" operator="containsText" text="MEDIO">
      <formula>NOT(ISERROR(SEARCH("MEDIO",D96)))</formula>
    </cfRule>
  </conditionalFormatting>
  <conditionalFormatting sqref="D96">
    <cfRule type="containsText" dxfId="1767" priority="2912" operator="containsText" text="SANO">
      <formula>NOT(ISERROR(SEARCH("SANO",D96)))</formula>
    </cfRule>
    <cfRule type="containsText" dxfId="1766" priority="2913" operator="containsText" text="ALTO">
      <formula>NOT(ISERROR(SEARCH("ALTO",D96)))</formula>
    </cfRule>
    <cfRule type="containsText" dxfId="1765" priority="2914" operator="containsText" text="FALTA">
      <formula>NOT(ISERROR(SEARCH("FALTA",D96)))</formula>
    </cfRule>
  </conditionalFormatting>
  <conditionalFormatting sqref="D113:D117">
    <cfRule type="containsText" dxfId="1764" priority="2911" operator="containsText" text="MEDIO">
      <formula>NOT(ISERROR(SEARCH("MEDIO",D113)))</formula>
    </cfRule>
  </conditionalFormatting>
  <conditionalFormatting sqref="D113:D117">
    <cfRule type="containsText" dxfId="1763" priority="2908" operator="containsText" text="SANO">
      <formula>NOT(ISERROR(SEARCH("SANO",D113)))</formula>
    </cfRule>
    <cfRule type="containsText" dxfId="1762" priority="2909" operator="containsText" text="ALTO">
      <formula>NOT(ISERROR(SEARCH("ALTO",D113)))</formula>
    </cfRule>
    <cfRule type="containsText" dxfId="1761" priority="2910" operator="containsText" text="FALTA">
      <formula>NOT(ISERROR(SEARCH("FALTA",D113)))</formula>
    </cfRule>
  </conditionalFormatting>
  <conditionalFormatting sqref="D118:D119">
    <cfRule type="containsText" dxfId="1760" priority="2899" operator="containsText" text="MEDIO">
      <formula>NOT(ISERROR(SEARCH("MEDIO",D118)))</formula>
    </cfRule>
  </conditionalFormatting>
  <conditionalFormatting sqref="D118:D119">
    <cfRule type="containsText" dxfId="1759" priority="2898" operator="containsText" text="FALTA">
      <formula>NOT(ISERROR(SEARCH("FALTA",D118)))</formula>
    </cfRule>
    <cfRule type="containsText" dxfId="1758" priority="3083" operator="containsText" text="SANO">
      <formula>NOT(ISERROR(SEARCH("SANO",D118)))</formula>
    </cfRule>
  </conditionalFormatting>
  <conditionalFormatting sqref="D1 D83:D88 D112:D123 D4:D81 D90:D110 D142:D1048576">
    <cfRule type="containsText" dxfId="1757" priority="3084" operator="containsText" text="HAS / DM">
      <formula>NOT(ISERROR(SEARCH("HAS / DM",D1)))</formula>
    </cfRule>
  </conditionalFormatting>
  <conditionalFormatting sqref="D1 D83:D88 D112:D123 D4:D81 D90:D110 D142:D1048576">
    <cfRule type="containsText" dxfId="1756" priority="3085" operator="containsText" text="PEND ESTATUS">
      <formula>NOT(ISERROR(SEARCH("PEND ESTATUS",D1)))</formula>
    </cfRule>
  </conditionalFormatting>
  <conditionalFormatting sqref="E1:E1048576">
    <cfRule type="containsText" dxfId="1755" priority="2884" operator="containsText" text="Q.S + HEMOGLOBINA GLICOSILADA">
      <formula>NOT(ISERROR(SEARCH("Q.S + HEMOGLOBINA GLICOSILADA",E1)))</formula>
    </cfRule>
    <cfRule type="containsText" dxfId="1754" priority="2885" operator="containsText" text="HEMOGLOBINA GLICOSILADA">
      <formula>NOT(ISERROR(SEARCH("HEMOGLOBINA GLICOSILADA",E1)))</formula>
    </cfRule>
    <cfRule type="containsText" dxfId="1753" priority="2886" operator="containsText" text="QUIMICA SANGUINEA">
      <formula>NOT(ISERROR(SEARCH("QUIMICA SANGUINEA",E1)))</formula>
    </cfRule>
    <cfRule type="containsText" dxfId="1752" priority="2887" operator="containsText" text="NO AYUNO">
      <formula>NOT(ISERROR(SEARCH("NO AYUNO",E1)))</formula>
    </cfRule>
    <cfRule type="containsText" dxfId="1751" priority="2888" operator="containsText" text="AYUNO">
      <formula>NOT(ISERROR(SEARCH("AYUNO",E1)))</formula>
    </cfRule>
  </conditionalFormatting>
  <conditionalFormatting sqref="D111">
    <cfRule type="containsText" dxfId="1750" priority="2849" operator="containsText" text="MEDIO">
      <formula>NOT(ISERROR(SEARCH("MEDIO",D111)))</formula>
    </cfRule>
  </conditionalFormatting>
  <conditionalFormatting sqref="D111">
    <cfRule type="containsText" dxfId="1749" priority="2846" operator="containsText" text="SANO">
      <formula>NOT(ISERROR(SEARCH("SANO",D111)))</formula>
    </cfRule>
    <cfRule type="containsText" dxfId="1748" priority="2847" operator="containsText" text="ALTO">
      <formula>NOT(ISERROR(SEARCH("ALTO",D111)))</formula>
    </cfRule>
    <cfRule type="containsText" dxfId="1747" priority="2848" operator="containsText" text="FALTA">
      <formula>NOT(ISERROR(SEARCH("FALTA",D111)))</formula>
    </cfRule>
  </conditionalFormatting>
  <conditionalFormatting sqref="D111">
    <cfRule type="containsText" dxfId="1746" priority="2856" operator="containsText" text="HAS / DM">
      <formula>NOT(ISERROR(SEARCH("HAS / DM",D111)))</formula>
    </cfRule>
  </conditionalFormatting>
  <conditionalFormatting sqref="D111">
    <cfRule type="containsText" dxfId="1745" priority="2857" operator="containsText" text="PEND ESTATUS">
      <formula>NOT(ISERROR(SEARCH("PEND ESTATUS",D111)))</formula>
    </cfRule>
  </conditionalFormatting>
  <conditionalFormatting sqref="D124:D127">
    <cfRule type="containsText" dxfId="1744" priority="2799" operator="containsText" text="MEDIO">
      <formula>NOT(ISERROR(SEARCH("MEDIO",D124)))</formula>
    </cfRule>
  </conditionalFormatting>
  <conditionalFormatting sqref="D124:D127">
    <cfRule type="containsText" dxfId="1743" priority="2796" operator="containsText" text="SANO">
      <formula>NOT(ISERROR(SEARCH("SANO",D124)))</formula>
    </cfRule>
    <cfRule type="containsText" dxfId="1742" priority="2797" operator="containsText" text="ALTO">
      <formula>NOT(ISERROR(SEARCH("ALTO",D124)))</formula>
    </cfRule>
    <cfRule type="containsText" dxfId="1741" priority="2798" operator="containsText" text="FALTA">
      <formula>NOT(ISERROR(SEARCH("FALTA",D124)))</formula>
    </cfRule>
  </conditionalFormatting>
  <conditionalFormatting sqref="D124:D127">
    <cfRule type="containsText" dxfId="1740" priority="2805" operator="containsText" text="HAS / DM">
      <formula>NOT(ISERROR(SEARCH("HAS / DM",D124)))</formula>
    </cfRule>
  </conditionalFormatting>
  <conditionalFormatting sqref="D124:D127">
    <cfRule type="containsText" dxfId="1739" priority="2806" operator="containsText" text="PEND ESTATUS">
      <formula>NOT(ISERROR(SEARCH("PEND ESTATUS",D124)))</formula>
    </cfRule>
  </conditionalFormatting>
  <conditionalFormatting sqref="D89">
    <cfRule type="containsText" dxfId="1738" priority="2721" operator="containsText" text="MEDIO">
      <formula>NOT(ISERROR(SEARCH("MEDIO",D89)))</formula>
    </cfRule>
  </conditionalFormatting>
  <conditionalFormatting sqref="D89">
    <cfRule type="containsText" dxfId="1737" priority="2718" operator="containsText" text="SANO">
      <formula>NOT(ISERROR(SEARCH("SANO",D89)))</formula>
    </cfRule>
    <cfRule type="containsText" dxfId="1736" priority="2719" operator="containsText" text="ALTO">
      <formula>NOT(ISERROR(SEARCH("ALTO",D89)))</formula>
    </cfRule>
    <cfRule type="containsText" dxfId="1735" priority="2720" operator="containsText" text="FALTA">
      <formula>NOT(ISERROR(SEARCH("FALTA",D89)))</formula>
    </cfRule>
  </conditionalFormatting>
  <conditionalFormatting sqref="D89">
    <cfRule type="containsText" dxfId="1734" priority="2728" operator="containsText" text="HAS / DM">
      <formula>NOT(ISERROR(SEARCH("HAS / DM",D89)))</formula>
    </cfRule>
  </conditionalFormatting>
  <conditionalFormatting sqref="D89">
    <cfRule type="containsText" dxfId="1733" priority="2729" operator="containsText" text="PEND ESTATUS">
      <formula>NOT(ISERROR(SEARCH("PEND ESTATUS",D89)))</formula>
    </cfRule>
  </conditionalFormatting>
  <conditionalFormatting sqref="F1:F3 L1:L3 N1:N3 P1:P3 R1:R3 T1:T3 V1:V3 H1:H82 J1:J82 X1:X82 Z1:Z82 AB1:AB82 AB84:AB129 Z84:Z129 X84:X129 X140:X141 Z140:Z141 AB140:AB141 J84:J128 H84:H128 F142:F1048576 H139:H1048576 J139:J1048576 L142:L1048576">
    <cfRule type="containsText" dxfId="1732" priority="2699" operator="containsText" text="MEDIO">
      <formula>NOT(ISERROR(SEARCH("MEDIO",F1)))</formula>
    </cfRule>
    <cfRule type="containsText" dxfId="1731" priority="2700" operator="containsText" text="VACACIONES">
      <formula>NOT(ISERROR(SEARCH("VACACIONES",F1)))</formula>
    </cfRule>
    <cfRule type="containsText" dxfId="1730" priority="2701" operator="containsText" text="ALTO">
      <formula>NOT(ISERROR(SEARCH("ALTO",F1)))</formula>
    </cfRule>
    <cfRule type="containsText" dxfId="1729" priority="2702" operator="containsText" text="NEDIO">
      <formula>NOT(ISERROR(SEARCH("NEDIO",F1)))</formula>
    </cfRule>
    <cfRule type="containsText" dxfId="1728" priority="2703" operator="containsText" text="SANO">
      <formula>NOT(ISERROR(SEARCH("SANO",F1)))</formula>
    </cfRule>
  </conditionalFormatting>
  <conditionalFormatting sqref="N142:N1048576">
    <cfRule type="containsText" dxfId="1727" priority="2679" operator="containsText" text="MEDIO">
      <formula>NOT(ISERROR(SEARCH("MEDIO",N142)))</formula>
    </cfRule>
    <cfRule type="containsText" dxfId="1726" priority="2680" operator="containsText" text="VACACIONES">
      <formula>NOT(ISERROR(SEARCH("VACACIONES",N142)))</formula>
    </cfRule>
    <cfRule type="containsText" dxfId="1725" priority="2681" operator="containsText" text="ALTO">
      <formula>NOT(ISERROR(SEARCH("ALTO",N142)))</formula>
    </cfRule>
    <cfRule type="containsText" dxfId="1724" priority="2682" operator="containsText" text="NEDIO">
      <formula>NOT(ISERROR(SEARCH("NEDIO",N142)))</formula>
    </cfRule>
    <cfRule type="containsText" dxfId="1723" priority="2683" operator="containsText" text="SANO">
      <formula>NOT(ISERROR(SEARCH("SANO",N142)))</formula>
    </cfRule>
  </conditionalFormatting>
  <conditionalFormatting sqref="P142:P1048576">
    <cfRule type="containsText" dxfId="1722" priority="2674" operator="containsText" text="MEDIO">
      <formula>NOT(ISERROR(SEARCH("MEDIO",P142)))</formula>
    </cfRule>
    <cfRule type="containsText" dxfId="1721" priority="2675" operator="containsText" text="VACACIONES">
      <formula>NOT(ISERROR(SEARCH("VACACIONES",P142)))</formula>
    </cfRule>
    <cfRule type="containsText" dxfId="1720" priority="2676" operator="containsText" text="ALTO">
      <formula>NOT(ISERROR(SEARCH("ALTO",P142)))</formula>
    </cfRule>
    <cfRule type="containsText" dxfId="1719" priority="2677" operator="containsText" text="NEDIO">
      <formula>NOT(ISERROR(SEARCH("NEDIO",P142)))</formula>
    </cfRule>
    <cfRule type="containsText" dxfId="1718" priority="2678" operator="containsText" text="SANO">
      <formula>NOT(ISERROR(SEARCH("SANO",P142)))</formula>
    </cfRule>
  </conditionalFormatting>
  <conditionalFormatting sqref="R142:R1048576">
    <cfRule type="containsText" dxfId="1717" priority="2669" operator="containsText" text="MEDIO">
      <formula>NOT(ISERROR(SEARCH("MEDIO",R142)))</formula>
    </cfRule>
    <cfRule type="containsText" dxfId="1716" priority="2670" operator="containsText" text="VACACIONES">
      <formula>NOT(ISERROR(SEARCH("VACACIONES",R142)))</formula>
    </cfRule>
    <cfRule type="containsText" dxfId="1715" priority="2671" operator="containsText" text="ALTO">
      <formula>NOT(ISERROR(SEARCH("ALTO",R142)))</formula>
    </cfRule>
    <cfRule type="containsText" dxfId="1714" priority="2672" operator="containsText" text="NEDIO">
      <formula>NOT(ISERROR(SEARCH("NEDIO",R142)))</formula>
    </cfRule>
    <cfRule type="containsText" dxfId="1713" priority="2673" operator="containsText" text="SANO">
      <formula>NOT(ISERROR(SEARCH("SANO",R142)))</formula>
    </cfRule>
  </conditionalFormatting>
  <conditionalFormatting sqref="T142:T1048576">
    <cfRule type="containsText" dxfId="1712" priority="2664" operator="containsText" text="MEDIO">
      <formula>NOT(ISERROR(SEARCH("MEDIO",T142)))</formula>
    </cfRule>
    <cfRule type="containsText" dxfId="1711" priority="2665" operator="containsText" text="VACACIONES">
      <formula>NOT(ISERROR(SEARCH("VACACIONES",T142)))</formula>
    </cfRule>
    <cfRule type="containsText" dxfId="1710" priority="2666" operator="containsText" text="ALTO">
      <formula>NOT(ISERROR(SEARCH("ALTO",T142)))</formula>
    </cfRule>
    <cfRule type="containsText" dxfId="1709" priority="2667" operator="containsText" text="NEDIO">
      <formula>NOT(ISERROR(SEARCH("NEDIO",T142)))</formula>
    </cfRule>
    <cfRule type="containsText" dxfId="1708" priority="2668" operator="containsText" text="SANO">
      <formula>NOT(ISERROR(SEARCH("SANO",T142)))</formula>
    </cfRule>
  </conditionalFormatting>
  <conditionalFormatting sqref="V142:V1048576">
    <cfRule type="containsText" dxfId="1707" priority="2659" operator="containsText" text="MEDIO">
      <formula>NOT(ISERROR(SEARCH("MEDIO",V142)))</formula>
    </cfRule>
    <cfRule type="containsText" dxfId="1706" priority="2660" operator="containsText" text="VACACIONES">
      <formula>NOT(ISERROR(SEARCH("VACACIONES",V142)))</formula>
    </cfRule>
    <cfRule type="containsText" dxfId="1705" priority="2661" operator="containsText" text="ALTO">
      <formula>NOT(ISERROR(SEARCH("ALTO",V142)))</formula>
    </cfRule>
    <cfRule type="containsText" dxfId="1704" priority="2662" operator="containsText" text="NEDIO">
      <formula>NOT(ISERROR(SEARCH("NEDIO",V142)))</formula>
    </cfRule>
    <cfRule type="containsText" dxfId="1703" priority="2663" operator="containsText" text="SANO">
      <formula>NOT(ISERROR(SEARCH("SANO",V142)))</formula>
    </cfRule>
  </conditionalFormatting>
  <conditionalFormatting sqref="X142:X1048576">
    <cfRule type="containsText" dxfId="1702" priority="2654" operator="containsText" text="MEDIO">
      <formula>NOT(ISERROR(SEARCH("MEDIO",X142)))</formula>
    </cfRule>
    <cfRule type="containsText" dxfId="1701" priority="2655" operator="containsText" text="VACACIONES">
      <formula>NOT(ISERROR(SEARCH("VACACIONES",X142)))</formula>
    </cfRule>
    <cfRule type="containsText" dxfId="1700" priority="2656" operator="containsText" text="ALTO">
      <formula>NOT(ISERROR(SEARCH("ALTO",X142)))</formula>
    </cfRule>
    <cfRule type="containsText" dxfId="1699" priority="2657" operator="containsText" text="NEDIO">
      <formula>NOT(ISERROR(SEARCH("NEDIO",X142)))</formula>
    </cfRule>
    <cfRule type="containsText" dxfId="1698" priority="2658" operator="containsText" text="SANO">
      <formula>NOT(ISERROR(SEARCH("SANO",X142)))</formula>
    </cfRule>
  </conditionalFormatting>
  <conditionalFormatting sqref="Z142:Z1048576">
    <cfRule type="containsText" dxfId="1697" priority="2649" operator="containsText" text="MEDIO">
      <formula>NOT(ISERROR(SEARCH("MEDIO",Z142)))</formula>
    </cfRule>
    <cfRule type="containsText" dxfId="1696" priority="2650" operator="containsText" text="VACACIONES">
      <formula>NOT(ISERROR(SEARCH("VACACIONES",Z142)))</formula>
    </cfRule>
    <cfRule type="containsText" dxfId="1695" priority="2651" operator="containsText" text="ALTO">
      <formula>NOT(ISERROR(SEARCH("ALTO",Z142)))</formula>
    </cfRule>
    <cfRule type="containsText" dxfId="1694" priority="2652" operator="containsText" text="NEDIO">
      <formula>NOT(ISERROR(SEARCH("NEDIO",Z142)))</formula>
    </cfRule>
    <cfRule type="containsText" dxfId="1693" priority="2653" operator="containsText" text="SANO">
      <formula>NOT(ISERROR(SEARCH("SANO",Z142)))</formula>
    </cfRule>
  </conditionalFormatting>
  <conditionalFormatting sqref="AB142:AB1048576">
    <cfRule type="containsText" dxfId="1692" priority="2644" operator="containsText" text="MEDIO">
      <formula>NOT(ISERROR(SEARCH("MEDIO",AB142)))</formula>
    </cfRule>
    <cfRule type="containsText" dxfId="1691" priority="2645" operator="containsText" text="VACACIONES">
      <formula>NOT(ISERROR(SEARCH("VACACIONES",AB142)))</formula>
    </cfRule>
    <cfRule type="containsText" dxfId="1690" priority="2646" operator="containsText" text="ALTO">
      <formula>NOT(ISERROR(SEARCH("ALTO",AB142)))</formula>
    </cfRule>
    <cfRule type="containsText" dxfId="1689" priority="2647" operator="containsText" text="NEDIO">
      <formula>NOT(ISERROR(SEARCH("NEDIO",AB142)))</formula>
    </cfRule>
    <cfRule type="containsText" dxfId="1688" priority="2648" operator="containsText" text="SANO">
      <formula>NOT(ISERROR(SEARCH("SANO",AB142)))</formula>
    </cfRule>
  </conditionalFormatting>
  <conditionalFormatting sqref="D1:D81 D83:D127 D138:D1048576">
    <cfRule type="containsText" dxfId="1687" priority="2639" operator="containsText" text="ICC">
      <formula>NOT(ISERROR(SEARCH("ICC",D1)))</formula>
    </cfRule>
    <cfRule type="containsText" dxfId="1686" priority="2640" operator="containsText" text="TA REACTIVA">
      <formula>NOT(ISERROR(SEARCH("TA REACTIVA",D1)))</formula>
    </cfRule>
    <cfRule type="containsText" dxfId="1685" priority="2641" operator="containsText" text="DM">
      <formula>NOT(ISERROR(SEARCH("DM",D1)))</formula>
    </cfRule>
    <cfRule type="containsText" dxfId="1684" priority="2642" operator="containsText" text="HAS">
      <formula>NOT(ISERROR(SEARCH("HAS",D1)))</formula>
    </cfRule>
    <cfRule type="containsText" dxfId="1683" priority="2643" operator="containsText" text="TA ELEVADAS">
      <formula>NOT(ISERROR(SEARCH("TA ELEVADAS",D1)))</formula>
    </cfRule>
  </conditionalFormatting>
  <conditionalFormatting sqref="D138:D141">
    <cfRule type="containsText" dxfId="1682" priority="2635" operator="containsText" text="HAS / DM">
      <formula>NOT(ISERROR(SEARCH("HAS / DM",D138)))</formula>
    </cfRule>
    <cfRule type="containsText" dxfId="1681" priority="2637" operator="containsText" text="ICC">
      <formula>NOT(ISERROR(SEARCH("ICC",D138)))</formula>
    </cfRule>
  </conditionalFormatting>
  <conditionalFormatting sqref="D138:D141">
    <cfRule type="containsText" dxfId="1680" priority="2636" operator="containsText" text="PEND ESTATUS">
      <formula>NOT(ISERROR(SEARCH("PEND ESTATUS",D138)))</formula>
    </cfRule>
    <cfRule type="containsText" dxfId="1679" priority="2638" operator="containsText" text="TA REACTIVA">
      <formula>NOT(ISERROR(SEARCH("TA REACTIVA",D138)))</formula>
    </cfRule>
  </conditionalFormatting>
  <conditionalFormatting sqref="G1:G82 G84:G128 G139:G1048576">
    <cfRule type="containsText" dxfId="1678" priority="2528" operator="containsText" text="Q. S. + HEMOGLOBINA GLICOSILADA">
      <formula>NOT(ISERROR(SEARCH("Q. S. + HEMOGLOBINA GLICOSILADA",G1)))</formula>
    </cfRule>
    <cfRule type="containsText" dxfId="1677" priority="2529" operator="containsText" text="HEMOGLOBINA GLICOSILADA">
      <formula>NOT(ISERROR(SEARCH("HEMOGLOBINA GLICOSILADA",G1)))</formula>
    </cfRule>
    <cfRule type="containsText" dxfId="1676" priority="2530" operator="containsText" text="QUIMICA SANGUINEA">
      <formula>NOT(ISERROR(SEARCH("QUIMICA SANGUINEA",G1)))</formula>
    </cfRule>
    <cfRule type="containsText" dxfId="1675" priority="2531" operator="containsText" text="NO AYUNO">
      <formula>NOT(ISERROR(SEARCH("NO AYUNO",G1)))</formula>
    </cfRule>
    <cfRule type="containsText" dxfId="1674" priority="2532" operator="containsText" text="AYUNO">
      <formula>NOT(ISERROR(SEARCH("AYUNO",G1)))</formula>
    </cfRule>
  </conditionalFormatting>
  <conditionalFormatting sqref="D124:D127">
    <cfRule type="containsText" dxfId="1673" priority="2525" operator="containsText" text="MEDIO">
      <formula>NOT(ISERROR(SEARCH("MEDIO",D124)))</formula>
    </cfRule>
  </conditionalFormatting>
  <conditionalFormatting sqref="D124:D127">
    <cfRule type="containsText" dxfId="1672" priority="2522" operator="containsText" text="SANO">
      <formula>NOT(ISERROR(SEARCH("SANO",D124)))</formula>
    </cfRule>
    <cfRule type="containsText" dxfId="1671" priority="2523" operator="containsText" text="ALTO">
      <formula>NOT(ISERROR(SEARCH("ALTO",D124)))</formula>
    </cfRule>
    <cfRule type="containsText" dxfId="1670" priority="2524" operator="containsText" text="FALTA">
      <formula>NOT(ISERROR(SEARCH("FALTA",D124)))</formula>
    </cfRule>
  </conditionalFormatting>
  <conditionalFormatting sqref="D124:D127">
    <cfRule type="containsText" dxfId="1669" priority="2526" operator="containsText" text="HAS / DM">
      <formula>NOT(ISERROR(SEARCH("HAS / DM",D124)))</formula>
    </cfRule>
  </conditionalFormatting>
  <conditionalFormatting sqref="D124:D127">
    <cfRule type="containsText" dxfId="1668" priority="2527" operator="containsText" text="PEND ESTATUS">
      <formula>NOT(ISERROR(SEARCH("PEND ESTATUS",D124)))</formula>
    </cfRule>
  </conditionalFormatting>
  <conditionalFormatting sqref="H1:H82 H84:H128 H139:H1048576">
    <cfRule type="containsText" dxfId="1667" priority="2521" operator="containsText" text="FALTA">
      <formula>NOT(ISERROR(SEARCH("FALTA",H1)))</formula>
    </cfRule>
  </conditionalFormatting>
  <conditionalFormatting sqref="O1:O26 O28:O82 I1:I82 K1:K82 O84:O129 K84:K128 I84:I86 O140:O1048576 I139:I1048576 K139:K1048576 I115:I128">
    <cfRule type="containsText" dxfId="1666" priority="2514" operator="containsText" text="QUIMICA SANGUINEA">
      <formula>NOT(ISERROR(SEARCH("QUIMICA SANGUINEA",I1)))</formula>
    </cfRule>
    <cfRule type="containsText" dxfId="1665" priority="2515" operator="containsText" text="QUIMICA SANGUINEA + HEMOGLOBINA GLICOSILADA">
      <formula>NOT(ISERROR(SEARCH("QUIMICA SANGUINEA + HEMOGLOBINA GLICOSILADA",I1)))</formula>
    </cfRule>
    <cfRule type="containsText" dxfId="1664" priority="2516" operator="containsText" text="QUIMICA SANGUINEA">
      <formula>NOT(ISERROR(SEARCH("QUIMICA SANGUINEA",I1)))</formula>
    </cfRule>
    <cfRule type="containsText" priority="2517" operator="containsText" text="QUIMICA SANGUINEA">
      <formula>NOT(ISERROR(SEARCH("QUIMICA SANGUINEA",I1)))</formula>
    </cfRule>
    <cfRule type="containsText" dxfId="1663" priority="2518" operator="containsText" text="HEMOGLOBINA GLICOSILADA">
      <formula>NOT(ISERROR(SEARCH("HEMOGLOBINA GLICOSILADA",I1)))</formula>
    </cfRule>
    <cfRule type="containsText" dxfId="1662" priority="2519" operator="containsText" text="NO AYUNO">
      <formula>NOT(ISERROR(SEARCH("NO AYUNO",I1)))</formula>
    </cfRule>
    <cfRule type="containsText" dxfId="1661" priority="2520" operator="containsText" text="AYUNO">
      <formula>NOT(ISERROR(SEARCH("AYUNO",I1)))</formula>
    </cfRule>
  </conditionalFormatting>
  <conditionalFormatting sqref="L22 L29 L31 L61:L65 L67:L69 L71:L78 L84:L89 N123 N139:N140 N5 L34:L35 N104:N106 N12 L5:L15 L37:L50 L53:L58 T4:T77 P4:P78 R4:R78 V4:V78 L80:L81 N81 T79:T82 P80:P82 R80:R82 V80:V82 N108:N114 N116:N121 V84:V129 R84:R129 P84:P129 T84:T129 T140:T141 P140:P141 R140:R141 V140:V141 L139:L141 L93:L128 F4:F130">
    <cfRule type="containsText" dxfId="1660" priority="2503" operator="containsText" text="MODERADO">
      <formula>NOT(ISERROR(SEARCH("MODERADO",F4)))</formula>
    </cfRule>
    <cfRule type="containsText" dxfId="1659" priority="2504" operator="containsText" text="SANO">
      <formula>NOT(ISERROR(SEARCH("SANO",F4)))</formula>
    </cfRule>
    <cfRule type="containsText" dxfId="1658" priority="2505" operator="containsText" text="ALTO">
      <formula>NOT(ISERROR(SEARCH("ALTO",F4)))</formula>
    </cfRule>
    <cfRule type="containsText" dxfId="1657" priority="2506" operator="containsText" text="BAJO">
      <formula>NOT(ISERROR(SEARCH("BAJO",F4)))</formula>
    </cfRule>
    <cfRule type="containsText" dxfId="1656" priority="2507" operator="containsText" text="FALTA">
      <formula>NOT(ISERROR(SEARCH("FALTA",F4)))</formula>
    </cfRule>
  </conditionalFormatting>
  <conditionalFormatting sqref="L22 L29 L31 L61:L65 L67:L69 L71:L78 L84:L89 N123 N139:N140 N5 L34:L35 N104:N106 N12 L5:L15 L37:L50 L53:L58 T4:T77 P4:P78 R4:R78 V4:V78 L80:L81 N81 T79:T82 P80:P82 R80:R82 V80:V82 N108:N114 N116:N121 V84:V129 R84:R129 P84:P129 T84:T129 T140:T141 P140:P141 R140:R141 V140:V141 L139:L141 L93:L128 F4:F130">
    <cfRule type="containsText" dxfId="1655" priority="2502" operator="containsText" text="N/A">
      <formula>NOT(ISERROR(SEARCH("N/A",F4)))</formula>
    </cfRule>
  </conditionalFormatting>
  <conditionalFormatting sqref="L15 L22 L29 L31 L34 L50 L61:L65 L37:L42 L84:L89">
    <cfRule type="containsText" dxfId="1654" priority="2501" operator="containsText" text="MEDIO">
      <formula>NOT(ISERROR(SEARCH("MEDIO",L15)))</formula>
    </cfRule>
  </conditionalFormatting>
  <conditionalFormatting sqref="L22 L29 L31 L61:L65 L67:L69 L71:L78 L84:L89 N123 N125:N128 N5 L34:L35 N104:N106 N139:N140 N12 L5:L15 L37:L50 L53:L58 T4:T77 P4:P78 R4:R78 V4:V78 L80:L81 N81 T79:T82 P80:P82 R80:R82 V80:V82 N108:N114 N116:N121 V84:V129 R84:R129 P84:P129 T84:T129 T140:T141 P140:P141 R140:R141 V140:V141 L139:L141 L93:L128 F4:F130">
    <cfRule type="containsText" dxfId="1653" priority="2487" operator="containsText" text="R. MODERADO">
      <formula>NOT(ISERROR(SEARCH("R. MODERADO",F4)))</formula>
    </cfRule>
  </conditionalFormatting>
  <conditionalFormatting sqref="L79">
    <cfRule type="containsText" dxfId="1652" priority="2476" operator="containsText" text="MODERADO">
      <formula>NOT(ISERROR(SEARCH("MODERADO",L79)))</formula>
    </cfRule>
    <cfRule type="containsText" dxfId="1651" priority="2477" operator="containsText" text="SANO">
      <formula>NOT(ISERROR(SEARCH("SANO",L79)))</formula>
    </cfRule>
    <cfRule type="containsText" dxfId="1650" priority="2478" operator="containsText" text="ALTO">
      <formula>NOT(ISERROR(SEARCH("ALTO",L79)))</formula>
    </cfRule>
    <cfRule type="containsText" dxfId="1649" priority="2479" operator="containsText" text="BAJO">
      <formula>NOT(ISERROR(SEARCH("BAJO",L79)))</formula>
    </cfRule>
    <cfRule type="containsText" dxfId="1648" priority="2480" operator="containsText" text="FALTA">
      <formula>NOT(ISERROR(SEARCH("FALTA",L79)))</formula>
    </cfRule>
  </conditionalFormatting>
  <conditionalFormatting sqref="L79">
    <cfRule type="containsText" dxfId="1647" priority="2475" operator="containsText" text="N/A">
      <formula>NOT(ISERROR(SEARCH("N/A",L79)))</formula>
    </cfRule>
  </conditionalFormatting>
  <conditionalFormatting sqref="L79">
    <cfRule type="containsText" dxfId="1646" priority="2474" operator="containsText" text="MEDIO">
      <formula>NOT(ISERROR(SEARCH("MEDIO",L79)))</formula>
    </cfRule>
  </conditionalFormatting>
  <conditionalFormatting sqref="L79">
    <cfRule type="containsText" dxfId="1645" priority="2473" operator="containsText" text="R. MODERADO">
      <formula>NOT(ISERROR(SEARCH("R. MODERADO",L79)))</formula>
    </cfRule>
  </conditionalFormatting>
  <conditionalFormatting sqref="L79">
    <cfRule type="containsText" dxfId="1644" priority="2481" operator="containsText" text="BAJO">
      <formula>NOT(ISERROR(SEARCH("BAJO",L79)))</formula>
    </cfRule>
    <cfRule type="containsText" dxfId="1643" priority="2482" operator="containsText" text="MODERADO">
      <formula>NOT(ISERROR(SEARCH("MODERADO",L79)))</formula>
    </cfRule>
    <cfRule type="containsText" dxfId="1642" priority="2483" operator="containsText" text="SANO">
      <formula>NOT(ISERROR(SEARCH("SANO",L79)))</formula>
    </cfRule>
    <cfRule type="containsText" dxfId="1641" priority="2484" operator="containsText" text="ALTO">
      <formula>NOT(ISERROR(SEARCH("ALTO",L79)))</formula>
    </cfRule>
    <cfRule type="colorScale" priority="248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640" priority="2486" operator="containsText" text="ALTO">
      <formula>NOT(ISERROR(SEARCH("ALTO",L79)))</formula>
    </cfRule>
  </conditionalFormatting>
  <conditionalFormatting sqref="L141">
    <cfRule type="containsText" dxfId="1639" priority="2462" operator="containsText" text="MODERADO">
      <formula>NOT(ISERROR(SEARCH("MODERADO",L141)))</formula>
    </cfRule>
    <cfRule type="containsText" dxfId="1638" priority="2463" operator="containsText" text="SANO">
      <formula>NOT(ISERROR(SEARCH("SANO",L141)))</formula>
    </cfRule>
    <cfRule type="containsText" dxfId="1637" priority="2464" operator="containsText" text="ALTO">
      <formula>NOT(ISERROR(SEARCH("ALTO",L141)))</formula>
    </cfRule>
    <cfRule type="containsText" dxfId="1636" priority="2465" operator="containsText" text="BAJO">
      <formula>NOT(ISERROR(SEARCH("BAJO",L141)))</formula>
    </cfRule>
    <cfRule type="containsText" dxfId="1635" priority="2466" operator="containsText" text="FALTA">
      <formula>NOT(ISERROR(SEARCH("FALTA",L141)))</formula>
    </cfRule>
  </conditionalFormatting>
  <conditionalFormatting sqref="L141">
    <cfRule type="containsText" dxfId="1634" priority="2461" operator="containsText" text="N/A">
      <formula>NOT(ISERROR(SEARCH("N/A",L141)))</formula>
    </cfRule>
  </conditionalFormatting>
  <conditionalFormatting sqref="L141">
    <cfRule type="containsText" dxfId="1633" priority="2460" operator="containsText" text="MEDIO">
      <formula>NOT(ISERROR(SEARCH("MEDIO",L141)))</formula>
    </cfRule>
  </conditionalFormatting>
  <conditionalFormatting sqref="L141">
    <cfRule type="containsText" dxfId="1632" priority="2467" operator="containsText" text="BAJO">
      <formula>NOT(ISERROR(SEARCH("BAJO",L141)))</formula>
    </cfRule>
    <cfRule type="containsText" dxfId="1631" priority="2468" operator="containsText" text="MODERADO">
      <formula>NOT(ISERROR(SEARCH("MODERADO",L141)))</formula>
    </cfRule>
    <cfRule type="containsText" dxfId="1630" priority="2469" operator="containsText" text="SANO">
      <formula>NOT(ISERROR(SEARCH("SANO",L141)))</formula>
    </cfRule>
    <cfRule type="containsText" dxfId="1629" priority="2470" operator="containsText" text="ALTO">
      <formula>NOT(ISERROR(SEARCH("ALTO",L141)))</formula>
    </cfRule>
    <cfRule type="colorScale" priority="247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628" priority="2472" operator="containsText" text="ALTO">
      <formula>NOT(ISERROR(SEARCH("ALTO",L141)))</formula>
    </cfRule>
  </conditionalFormatting>
  <conditionalFormatting sqref="L16:L17">
    <cfRule type="containsText" dxfId="1627" priority="2435" operator="containsText" text="MODERADO">
      <formula>NOT(ISERROR(SEARCH("MODERADO",L16)))</formula>
    </cfRule>
    <cfRule type="containsText" dxfId="1626" priority="2436" operator="containsText" text="SANO">
      <formula>NOT(ISERROR(SEARCH("SANO",L16)))</formula>
    </cfRule>
    <cfRule type="containsText" dxfId="1625" priority="2437" operator="containsText" text="ALTO">
      <formula>NOT(ISERROR(SEARCH("ALTO",L16)))</formula>
    </cfRule>
    <cfRule type="containsText" dxfId="1624" priority="2438" operator="containsText" text="BAJO">
      <formula>NOT(ISERROR(SEARCH("BAJO",L16)))</formula>
    </cfRule>
    <cfRule type="containsText" dxfId="1623" priority="2439" operator="containsText" text="FALTA">
      <formula>NOT(ISERROR(SEARCH("FALTA",L16)))</formula>
    </cfRule>
  </conditionalFormatting>
  <conditionalFormatting sqref="L16:L17">
    <cfRule type="containsText" dxfId="1622" priority="2434" operator="containsText" text="N/A">
      <formula>NOT(ISERROR(SEARCH("N/A",L16)))</formula>
    </cfRule>
  </conditionalFormatting>
  <conditionalFormatting sqref="L16:L17">
    <cfRule type="containsText" dxfId="1621" priority="2433" operator="containsText" text="MEDIO">
      <formula>NOT(ISERROR(SEARCH("MEDIO",L16)))</formula>
    </cfRule>
  </conditionalFormatting>
  <conditionalFormatting sqref="L16:L17">
    <cfRule type="containsText" dxfId="1620" priority="2440" operator="containsText" text="BAJO">
      <formula>NOT(ISERROR(SEARCH("BAJO",L16)))</formula>
    </cfRule>
    <cfRule type="containsText" dxfId="1619" priority="2441" operator="containsText" text="MODERADO">
      <formula>NOT(ISERROR(SEARCH("MODERADO",L16)))</formula>
    </cfRule>
    <cfRule type="containsText" dxfId="1618" priority="2442" operator="containsText" text="SANO">
      <formula>NOT(ISERROR(SEARCH("SANO",L16)))</formula>
    </cfRule>
    <cfRule type="containsText" dxfId="1617" priority="2443" operator="containsText" text="ALTO">
      <formula>NOT(ISERROR(SEARCH("ALTO",L16)))</formula>
    </cfRule>
    <cfRule type="colorScale" priority="244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616" priority="2445" operator="containsText" text="ALTO">
      <formula>NOT(ISERROR(SEARCH("ALTO",L16)))</formula>
    </cfRule>
  </conditionalFormatting>
  <conditionalFormatting sqref="L16:L17">
    <cfRule type="containsText" dxfId="1615" priority="2432" operator="containsText" text="R. MODERADO">
      <formula>NOT(ISERROR(SEARCH("R. MODERADO",L16)))</formula>
    </cfRule>
  </conditionalFormatting>
  <conditionalFormatting sqref="L20:L21">
    <cfRule type="containsText" dxfId="1614" priority="2421" operator="containsText" text="MODERADO">
      <formula>NOT(ISERROR(SEARCH("MODERADO",L20)))</formula>
    </cfRule>
    <cfRule type="containsText" dxfId="1613" priority="2422" operator="containsText" text="SANO">
      <formula>NOT(ISERROR(SEARCH("SANO",L20)))</formula>
    </cfRule>
    <cfRule type="containsText" dxfId="1612" priority="2423" operator="containsText" text="ALTO">
      <formula>NOT(ISERROR(SEARCH("ALTO",L20)))</formula>
    </cfRule>
    <cfRule type="containsText" dxfId="1611" priority="2424" operator="containsText" text="BAJO">
      <formula>NOT(ISERROR(SEARCH("BAJO",L20)))</formula>
    </cfRule>
    <cfRule type="containsText" dxfId="1610" priority="2425" operator="containsText" text="FALTA">
      <formula>NOT(ISERROR(SEARCH("FALTA",L20)))</formula>
    </cfRule>
  </conditionalFormatting>
  <conditionalFormatting sqref="L20:L21">
    <cfRule type="containsText" dxfId="1609" priority="2420" operator="containsText" text="N/A">
      <formula>NOT(ISERROR(SEARCH("N/A",L20)))</formula>
    </cfRule>
  </conditionalFormatting>
  <conditionalFormatting sqref="L20:L21">
    <cfRule type="containsText" dxfId="1608" priority="2419" operator="containsText" text="MEDIO">
      <formula>NOT(ISERROR(SEARCH("MEDIO",L20)))</formula>
    </cfRule>
  </conditionalFormatting>
  <conditionalFormatting sqref="L20:L21">
    <cfRule type="containsText" dxfId="1607" priority="2426" operator="containsText" text="BAJO">
      <formula>NOT(ISERROR(SEARCH("BAJO",L20)))</formula>
    </cfRule>
    <cfRule type="containsText" dxfId="1606" priority="2427" operator="containsText" text="MODERADO">
      <formula>NOT(ISERROR(SEARCH("MODERADO",L20)))</formula>
    </cfRule>
    <cfRule type="containsText" dxfId="1605" priority="2428" operator="containsText" text="SANO">
      <formula>NOT(ISERROR(SEARCH("SANO",L20)))</formula>
    </cfRule>
    <cfRule type="containsText" dxfId="1604" priority="2429" operator="containsText" text="ALTO">
      <formula>NOT(ISERROR(SEARCH("ALTO",L20)))</formula>
    </cfRule>
    <cfRule type="colorScale" priority="243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603" priority="2431" operator="containsText" text="ALTO">
      <formula>NOT(ISERROR(SEARCH("ALTO",L20)))</formula>
    </cfRule>
  </conditionalFormatting>
  <conditionalFormatting sqref="L20:L21">
    <cfRule type="containsText" dxfId="1602" priority="2418" operator="containsText" text="R. MODERADO">
      <formula>NOT(ISERROR(SEARCH("R. MODERADO",L20)))</formula>
    </cfRule>
  </conditionalFormatting>
  <conditionalFormatting sqref="L23:L26">
    <cfRule type="containsText" dxfId="1601" priority="2407" operator="containsText" text="MODERADO">
      <formula>NOT(ISERROR(SEARCH("MODERADO",L23)))</formula>
    </cfRule>
    <cfRule type="containsText" dxfId="1600" priority="2408" operator="containsText" text="SANO">
      <formula>NOT(ISERROR(SEARCH("SANO",L23)))</formula>
    </cfRule>
    <cfRule type="containsText" dxfId="1599" priority="2409" operator="containsText" text="ALTO">
      <formula>NOT(ISERROR(SEARCH("ALTO",L23)))</formula>
    </cfRule>
    <cfRule type="containsText" dxfId="1598" priority="2410" operator="containsText" text="BAJO">
      <formula>NOT(ISERROR(SEARCH("BAJO",L23)))</formula>
    </cfRule>
    <cfRule type="containsText" dxfId="1597" priority="2411" operator="containsText" text="FALTA">
      <formula>NOT(ISERROR(SEARCH("FALTA",L23)))</formula>
    </cfRule>
  </conditionalFormatting>
  <conditionalFormatting sqref="L23:L26">
    <cfRule type="containsText" dxfId="1596" priority="2406" operator="containsText" text="N/A">
      <formula>NOT(ISERROR(SEARCH("N/A",L23)))</formula>
    </cfRule>
  </conditionalFormatting>
  <conditionalFormatting sqref="L23:L26">
    <cfRule type="containsText" dxfId="1595" priority="2405" operator="containsText" text="MEDIO">
      <formula>NOT(ISERROR(SEARCH("MEDIO",L23)))</formula>
    </cfRule>
  </conditionalFormatting>
  <conditionalFormatting sqref="L23:L26">
    <cfRule type="containsText" dxfId="1594" priority="2412" operator="containsText" text="BAJO">
      <formula>NOT(ISERROR(SEARCH("BAJO",L23)))</formula>
    </cfRule>
    <cfRule type="containsText" dxfId="1593" priority="2413" operator="containsText" text="MODERADO">
      <formula>NOT(ISERROR(SEARCH("MODERADO",L23)))</formula>
    </cfRule>
    <cfRule type="containsText" dxfId="1592" priority="2414" operator="containsText" text="SANO">
      <formula>NOT(ISERROR(SEARCH("SANO",L23)))</formula>
    </cfRule>
    <cfRule type="containsText" dxfId="1591" priority="2415" operator="containsText" text="ALTO">
      <formula>NOT(ISERROR(SEARCH("ALTO",L23)))</formula>
    </cfRule>
    <cfRule type="colorScale" priority="241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90" priority="2417" operator="containsText" text="ALTO">
      <formula>NOT(ISERROR(SEARCH("ALTO",L23)))</formula>
    </cfRule>
  </conditionalFormatting>
  <conditionalFormatting sqref="L23:L26">
    <cfRule type="containsText" dxfId="1589" priority="2404" operator="containsText" text="R. MODERADO">
      <formula>NOT(ISERROR(SEARCH("R. MODERADO",L23)))</formula>
    </cfRule>
  </conditionalFormatting>
  <conditionalFormatting sqref="L28">
    <cfRule type="containsText" dxfId="1588" priority="2393" operator="containsText" text="MODERADO">
      <formula>NOT(ISERROR(SEARCH("MODERADO",L28)))</formula>
    </cfRule>
    <cfRule type="containsText" dxfId="1587" priority="2394" operator="containsText" text="SANO">
      <formula>NOT(ISERROR(SEARCH("SANO",L28)))</formula>
    </cfRule>
    <cfRule type="containsText" dxfId="1586" priority="2395" operator="containsText" text="ALTO">
      <formula>NOT(ISERROR(SEARCH("ALTO",L28)))</formula>
    </cfRule>
    <cfRule type="containsText" dxfId="1585" priority="2396" operator="containsText" text="BAJO">
      <formula>NOT(ISERROR(SEARCH("BAJO",L28)))</formula>
    </cfRule>
    <cfRule type="containsText" dxfId="1584" priority="2397" operator="containsText" text="FALTA">
      <formula>NOT(ISERROR(SEARCH("FALTA",L28)))</formula>
    </cfRule>
  </conditionalFormatting>
  <conditionalFormatting sqref="L28">
    <cfRule type="containsText" dxfId="1583" priority="2392" operator="containsText" text="N/A">
      <formula>NOT(ISERROR(SEARCH("N/A",L28)))</formula>
    </cfRule>
  </conditionalFormatting>
  <conditionalFormatting sqref="L28">
    <cfRule type="containsText" dxfId="1582" priority="2391" operator="containsText" text="MEDIO">
      <formula>NOT(ISERROR(SEARCH("MEDIO",L28)))</formula>
    </cfRule>
  </conditionalFormatting>
  <conditionalFormatting sqref="L28">
    <cfRule type="containsText" dxfId="1581" priority="2398" operator="containsText" text="BAJO">
      <formula>NOT(ISERROR(SEARCH("BAJO",L28)))</formula>
    </cfRule>
    <cfRule type="containsText" dxfId="1580" priority="2399" operator="containsText" text="MODERADO">
      <formula>NOT(ISERROR(SEARCH("MODERADO",L28)))</formula>
    </cfRule>
    <cfRule type="containsText" dxfId="1579" priority="2400" operator="containsText" text="SANO">
      <formula>NOT(ISERROR(SEARCH("SANO",L28)))</formula>
    </cfRule>
    <cfRule type="containsText" dxfId="1578" priority="2401" operator="containsText" text="ALTO">
      <formula>NOT(ISERROR(SEARCH("ALTO",L28)))</formula>
    </cfRule>
    <cfRule type="colorScale" priority="240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77" priority="2403" operator="containsText" text="ALTO">
      <formula>NOT(ISERROR(SEARCH("ALTO",L28)))</formula>
    </cfRule>
  </conditionalFormatting>
  <conditionalFormatting sqref="L28">
    <cfRule type="containsText" dxfId="1576" priority="2390" operator="containsText" text="R. MODERADO">
      <formula>NOT(ISERROR(SEARCH("R. MODERADO",L28)))</formula>
    </cfRule>
  </conditionalFormatting>
  <conditionalFormatting sqref="L30">
    <cfRule type="containsText" dxfId="1575" priority="2379" operator="containsText" text="MODERADO">
      <formula>NOT(ISERROR(SEARCH("MODERADO",L30)))</formula>
    </cfRule>
    <cfRule type="containsText" dxfId="1574" priority="2380" operator="containsText" text="SANO">
      <formula>NOT(ISERROR(SEARCH("SANO",L30)))</formula>
    </cfRule>
    <cfRule type="containsText" dxfId="1573" priority="2381" operator="containsText" text="ALTO">
      <formula>NOT(ISERROR(SEARCH("ALTO",L30)))</formula>
    </cfRule>
    <cfRule type="containsText" dxfId="1572" priority="2382" operator="containsText" text="BAJO">
      <formula>NOT(ISERROR(SEARCH("BAJO",L30)))</formula>
    </cfRule>
    <cfRule type="containsText" dxfId="1571" priority="2383" operator="containsText" text="FALTA">
      <formula>NOT(ISERROR(SEARCH("FALTA",L30)))</formula>
    </cfRule>
  </conditionalFormatting>
  <conditionalFormatting sqref="L30">
    <cfRule type="containsText" dxfId="1570" priority="2378" operator="containsText" text="N/A">
      <formula>NOT(ISERROR(SEARCH("N/A",L30)))</formula>
    </cfRule>
  </conditionalFormatting>
  <conditionalFormatting sqref="L30">
    <cfRule type="containsText" dxfId="1569" priority="2377" operator="containsText" text="MEDIO">
      <formula>NOT(ISERROR(SEARCH("MEDIO",L30)))</formula>
    </cfRule>
  </conditionalFormatting>
  <conditionalFormatting sqref="L30">
    <cfRule type="containsText" dxfId="1568" priority="2384" operator="containsText" text="BAJO">
      <formula>NOT(ISERROR(SEARCH("BAJO",L30)))</formula>
    </cfRule>
    <cfRule type="containsText" dxfId="1567" priority="2385" operator="containsText" text="MODERADO">
      <formula>NOT(ISERROR(SEARCH("MODERADO",L30)))</formula>
    </cfRule>
    <cfRule type="containsText" dxfId="1566" priority="2386" operator="containsText" text="SANO">
      <formula>NOT(ISERROR(SEARCH("SANO",L30)))</formula>
    </cfRule>
    <cfRule type="containsText" dxfId="1565" priority="2387" operator="containsText" text="ALTO">
      <formula>NOT(ISERROR(SEARCH("ALTO",L30)))</formula>
    </cfRule>
    <cfRule type="colorScale" priority="238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64" priority="2389" operator="containsText" text="ALTO">
      <formula>NOT(ISERROR(SEARCH("ALTO",L30)))</formula>
    </cfRule>
  </conditionalFormatting>
  <conditionalFormatting sqref="L30">
    <cfRule type="containsText" dxfId="1563" priority="2376" operator="containsText" text="R. MODERADO">
      <formula>NOT(ISERROR(SEARCH("R. MODERADO",L30)))</formula>
    </cfRule>
  </conditionalFormatting>
  <conditionalFormatting sqref="L32:L33">
    <cfRule type="containsText" dxfId="1562" priority="2365" operator="containsText" text="MODERADO">
      <formula>NOT(ISERROR(SEARCH("MODERADO",L32)))</formula>
    </cfRule>
    <cfRule type="containsText" dxfId="1561" priority="2366" operator="containsText" text="SANO">
      <formula>NOT(ISERROR(SEARCH("SANO",L32)))</formula>
    </cfRule>
    <cfRule type="containsText" dxfId="1560" priority="2367" operator="containsText" text="ALTO">
      <formula>NOT(ISERROR(SEARCH("ALTO",L32)))</formula>
    </cfRule>
    <cfRule type="containsText" dxfId="1559" priority="2368" operator="containsText" text="BAJO">
      <formula>NOT(ISERROR(SEARCH("BAJO",L32)))</formula>
    </cfRule>
    <cfRule type="containsText" dxfId="1558" priority="2369" operator="containsText" text="FALTA">
      <formula>NOT(ISERROR(SEARCH("FALTA",L32)))</formula>
    </cfRule>
  </conditionalFormatting>
  <conditionalFormatting sqref="L32:L33">
    <cfRule type="containsText" dxfId="1557" priority="2364" operator="containsText" text="N/A">
      <formula>NOT(ISERROR(SEARCH("N/A",L32)))</formula>
    </cfRule>
  </conditionalFormatting>
  <conditionalFormatting sqref="L32:L33">
    <cfRule type="containsText" dxfId="1556" priority="2363" operator="containsText" text="MEDIO">
      <formula>NOT(ISERROR(SEARCH("MEDIO",L32)))</formula>
    </cfRule>
  </conditionalFormatting>
  <conditionalFormatting sqref="L32:L33">
    <cfRule type="containsText" dxfId="1555" priority="2370" operator="containsText" text="BAJO">
      <formula>NOT(ISERROR(SEARCH("BAJO",L32)))</formula>
    </cfRule>
    <cfRule type="containsText" dxfId="1554" priority="2371" operator="containsText" text="MODERADO">
      <formula>NOT(ISERROR(SEARCH("MODERADO",L32)))</formula>
    </cfRule>
    <cfRule type="containsText" dxfId="1553" priority="2372" operator="containsText" text="SANO">
      <formula>NOT(ISERROR(SEARCH("SANO",L32)))</formula>
    </cfRule>
    <cfRule type="containsText" dxfId="1552" priority="2373" operator="containsText" text="ALTO">
      <formula>NOT(ISERROR(SEARCH("ALTO",L32)))</formula>
    </cfRule>
    <cfRule type="colorScale" priority="237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51" priority="2375" operator="containsText" text="ALTO">
      <formula>NOT(ISERROR(SEARCH("ALTO",L32)))</formula>
    </cfRule>
  </conditionalFormatting>
  <conditionalFormatting sqref="L32:L33">
    <cfRule type="containsText" dxfId="1550" priority="2362" operator="containsText" text="R. MODERADO">
      <formula>NOT(ISERROR(SEARCH("R. MODERADO",L32)))</formula>
    </cfRule>
  </conditionalFormatting>
  <conditionalFormatting sqref="L51">
    <cfRule type="containsText" dxfId="1549" priority="2309" operator="containsText" text="MODERADO">
      <formula>NOT(ISERROR(SEARCH("MODERADO",L51)))</formula>
    </cfRule>
    <cfRule type="containsText" dxfId="1548" priority="2310" operator="containsText" text="SANO">
      <formula>NOT(ISERROR(SEARCH("SANO",L51)))</formula>
    </cfRule>
    <cfRule type="containsText" dxfId="1547" priority="2311" operator="containsText" text="ALTO">
      <formula>NOT(ISERROR(SEARCH("ALTO",L51)))</formula>
    </cfRule>
    <cfRule type="containsText" dxfId="1546" priority="2312" operator="containsText" text="BAJO">
      <formula>NOT(ISERROR(SEARCH("BAJO",L51)))</formula>
    </cfRule>
    <cfRule type="containsText" dxfId="1545" priority="2313" operator="containsText" text="FALTA">
      <formula>NOT(ISERROR(SEARCH("FALTA",L51)))</formula>
    </cfRule>
  </conditionalFormatting>
  <conditionalFormatting sqref="L51">
    <cfRule type="containsText" dxfId="1544" priority="2308" operator="containsText" text="N/A">
      <formula>NOT(ISERROR(SEARCH("N/A",L51)))</formula>
    </cfRule>
  </conditionalFormatting>
  <conditionalFormatting sqref="L51">
    <cfRule type="containsText" dxfId="1543" priority="2307" operator="containsText" text="MEDIO">
      <formula>NOT(ISERROR(SEARCH("MEDIO",L51)))</formula>
    </cfRule>
  </conditionalFormatting>
  <conditionalFormatting sqref="L51">
    <cfRule type="containsText" dxfId="1542" priority="2314" operator="containsText" text="BAJO">
      <formula>NOT(ISERROR(SEARCH("BAJO",L51)))</formula>
    </cfRule>
    <cfRule type="containsText" dxfId="1541" priority="2315" operator="containsText" text="MODERADO">
      <formula>NOT(ISERROR(SEARCH("MODERADO",L51)))</formula>
    </cfRule>
    <cfRule type="containsText" dxfId="1540" priority="2316" operator="containsText" text="SANO">
      <formula>NOT(ISERROR(SEARCH("SANO",L51)))</formula>
    </cfRule>
    <cfRule type="containsText" dxfId="1539" priority="2317" operator="containsText" text="ALTO">
      <formula>NOT(ISERROR(SEARCH("ALTO",L51)))</formula>
    </cfRule>
    <cfRule type="colorScale" priority="231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38" priority="2319" operator="containsText" text="ALTO">
      <formula>NOT(ISERROR(SEARCH("ALTO",L51)))</formula>
    </cfRule>
  </conditionalFormatting>
  <conditionalFormatting sqref="L51">
    <cfRule type="containsText" dxfId="1537" priority="2306" operator="containsText" text="R. MODERADO">
      <formula>NOT(ISERROR(SEARCH("R. MODERADO",L51)))</formula>
    </cfRule>
  </conditionalFormatting>
  <conditionalFormatting sqref="L52">
    <cfRule type="containsText" dxfId="1536" priority="2295" operator="containsText" text="MODERADO">
      <formula>NOT(ISERROR(SEARCH("MODERADO",L52)))</formula>
    </cfRule>
    <cfRule type="containsText" dxfId="1535" priority="2296" operator="containsText" text="SANO">
      <formula>NOT(ISERROR(SEARCH("SANO",L52)))</formula>
    </cfRule>
    <cfRule type="containsText" dxfId="1534" priority="2297" operator="containsText" text="ALTO">
      <formula>NOT(ISERROR(SEARCH("ALTO",L52)))</formula>
    </cfRule>
    <cfRule type="containsText" dxfId="1533" priority="2298" operator="containsText" text="BAJO">
      <formula>NOT(ISERROR(SEARCH("BAJO",L52)))</formula>
    </cfRule>
    <cfRule type="containsText" dxfId="1532" priority="2299" operator="containsText" text="FALTA">
      <formula>NOT(ISERROR(SEARCH("FALTA",L52)))</formula>
    </cfRule>
  </conditionalFormatting>
  <conditionalFormatting sqref="L52">
    <cfRule type="containsText" dxfId="1531" priority="2294" operator="containsText" text="N/A">
      <formula>NOT(ISERROR(SEARCH("N/A",L52)))</formula>
    </cfRule>
  </conditionalFormatting>
  <conditionalFormatting sqref="L52">
    <cfRule type="containsText" dxfId="1530" priority="2293" operator="containsText" text="MEDIO">
      <formula>NOT(ISERROR(SEARCH("MEDIO",L52)))</formula>
    </cfRule>
  </conditionalFormatting>
  <conditionalFormatting sqref="L52">
    <cfRule type="containsText" dxfId="1529" priority="2300" operator="containsText" text="BAJO">
      <formula>NOT(ISERROR(SEARCH("BAJO",L52)))</formula>
    </cfRule>
    <cfRule type="containsText" dxfId="1528" priority="2301" operator="containsText" text="MODERADO">
      <formula>NOT(ISERROR(SEARCH("MODERADO",L52)))</formula>
    </cfRule>
    <cfRule type="containsText" dxfId="1527" priority="2302" operator="containsText" text="SANO">
      <formula>NOT(ISERROR(SEARCH("SANO",L52)))</formula>
    </cfRule>
    <cfRule type="containsText" dxfId="1526" priority="2303" operator="containsText" text="ALTO">
      <formula>NOT(ISERROR(SEARCH("ALTO",L52)))</formula>
    </cfRule>
    <cfRule type="colorScale" priority="230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25" priority="2305" operator="containsText" text="ALTO">
      <formula>NOT(ISERROR(SEARCH("ALTO",L52)))</formula>
    </cfRule>
  </conditionalFormatting>
  <conditionalFormatting sqref="L52">
    <cfRule type="containsText" dxfId="1524" priority="2292" operator="containsText" text="R. MODERADO">
      <formula>NOT(ISERROR(SEARCH("R. MODERADO",L52)))</formula>
    </cfRule>
  </conditionalFormatting>
  <conditionalFormatting sqref="L59:L60">
    <cfRule type="containsText" dxfId="1523" priority="2281" operator="containsText" text="MODERADO">
      <formula>NOT(ISERROR(SEARCH("MODERADO",L59)))</formula>
    </cfRule>
    <cfRule type="containsText" dxfId="1522" priority="2282" operator="containsText" text="SANO">
      <formula>NOT(ISERROR(SEARCH("SANO",L59)))</formula>
    </cfRule>
    <cfRule type="containsText" dxfId="1521" priority="2283" operator="containsText" text="ALTO">
      <formula>NOT(ISERROR(SEARCH("ALTO",L59)))</formula>
    </cfRule>
    <cfRule type="containsText" dxfId="1520" priority="2284" operator="containsText" text="BAJO">
      <formula>NOT(ISERROR(SEARCH("BAJO",L59)))</formula>
    </cfRule>
    <cfRule type="containsText" dxfId="1519" priority="2285" operator="containsText" text="FALTA">
      <formula>NOT(ISERROR(SEARCH("FALTA",L59)))</formula>
    </cfRule>
  </conditionalFormatting>
  <conditionalFormatting sqref="L59:L60">
    <cfRule type="containsText" dxfId="1518" priority="2280" operator="containsText" text="N/A">
      <formula>NOT(ISERROR(SEARCH("N/A",L59)))</formula>
    </cfRule>
  </conditionalFormatting>
  <conditionalFormatting sqref="L59:L60">
    <cfRule type="containsText" dxfId="1517" priority="2279" operator="containsText" text="MEDIO">
      <formula>NOT(ISERROR(SEARCH("MEDIO",L59)))</formula>
    </cfRule>
  </conditionalFormatting>
  <conditionalFormatting sqref="L59:L60">
    <cfRule type="containsText" dxfId="1516" priority="2286" operator="containsText" text="BAJO">
      <formula>NOT(ISERROR(SEARCH("BAJO",L59)))</formula>
    </cfRule>
    <cfRule type="containsText" dxfId="1515" priority="2287" operator="containsText" text="MODERADO">
      <formula>NOT(ISERROR(SEARCH("MODERADO",L59)))</formula>
    </cfRule>
    <cfRule type="containsText" dxfId="1514" priority="2288" operator="containsText" text="SANO">
      <formula>NOT(ISERROR(SEARCH("SANO",L59)))</formula>
    </cfRule>
    <cfRule type="containsText" dxfId="1513" priority="2289" operator="containsText" text="ALTO">
      <formula>NOT(ISERROR(SEARCH("ALTO",L59)))</formula>
    </cfRule>
    <cfRule type="colorScale" priority="229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12" priority="2291" operator="containsText" text="ALTO">
      <formula>NOT(ISERROR(SEARCH("ALTO",L59)))</formula>
    </cfRule>
  </conditionalFormatting>
  <conditionalFormatting sqref="L59:L60">
    <cfRule type="containsText" dxfId="1511" priority="2278" operator="containsText" text="R. MODERADO">
      <formula>NOT(ISERROR(SEARCH("R. MODERADO",L59)))</formula>
    </cfRule>
  </conditionalFormatting>
  <conditionalFormatting sqref="L66">
    <cfRule type="containsText" dxfId="1510" priority="2267" operator="containsText" text="MODERADO">
      <formula>NOT(ISERROR(SEARCH("MODERADO",L66)))</formula>
    </cfRule>
    <cfRule type="containsText" dxfId="1509" priority="2268" operator="containsText" text="SANO">
      <formula>NOT(ISERROR(SEARCH("SANO",L66)))</formula>
    </cfRule>
    <cfRule type="containsText" dxfId="1508" priority="2269" operator="containsText" text="ALTO">
      <formula>NOT(ISERROR(SEARCH("ALTO",L66)))</formula>
    </cfRule>
    <cfRule type="containsText" dxfId="1507" priority="2270" operator="containsText" text="BAJO">
      <formula>NOT(ISERROR(SEARCH("BAJO",L66)))</formula>
    </cfRule>
    <cfRule type="containsText" dxfId="1506" priority="2271" operator="containsText" text="FALTA">
      <formula>NOT(ISERROR(SEARCH("FALTA",L66)))</formula>
    </cfRule>
  </conditionalFormatting>
  <conditionalFormatting sqref="L66">
    <cfRule type="containsText" dxfId="1505" priority="2266" operator="containsText" text="N/A">
      <formula>NOT(ISERROR(SEARCH("N/A",L66)))</formula>
    </cfRule>
  </conditionalFormatting>
  <conditionalFormatting sqref="L66">
    <cfRule type="containsText" dxfId="1504" priority="2265" operator="containsText" text="MEDIO">
      <formula>NOT(ISERROR(SEARCH("MEDIO",L66)))</formula>
    </cfRule>
  </conditionalFormatting>
  <conditionalFormatting sqref="L66">
    <cfRule type="containsText" dxfId="1503" priority="2272" operator="containsText" text="BAJO">
      <formula>NOT(ISERROR(SEARCH("BAJO",L66)))</formula>
    </cfRule>
    <cfRule type="containsText" dxfId="1502" priority="2273" operator="containsText" text="MODERADO">
      <formula>NOT(ISERROR(SEARCH("MODERADO",L66)))</formula>
    </cfRule>
    <cfRule type="containsText" dxfId="1501" priority="2274" operator="containsText" text="SANO">
      <formula>NOT(ISERROR(SEARCH("SANO",L66)))</formula>
    </cfRule>
    <cfRule type="containsText" dxfId="1500" priority="2275" operator="containsText" text="ALTO">
      <formula>NOT(ISERROR(SEARCH("ALTO",L66)))</formula>
    </cfRule>
    <cfRule type="colorScale" priority="227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99" priority="2277" operator="containsText" text="ALTO">
      <formula>NOT(ISERROR(SEARCH("ALTO",L66)))</formula>
    </cfRule>
  </conditionalFormatting>
  <conditionalFormatting sqref="L66">
    <cfRule type="containsText" dxfId="1498" priority="2264" operator="containsText" text="R. MODERADO">
      <formula>NOT(ISERROR(SEARCH("R. MODERADO",L66)))</formula>
    </cfRule>
  </conditionalFormatting>
  <conditionalFormatting sqref="L90:L92">
    <cfRule type="containsText" dxfId="1497" priority="2259" operator="containsText" text="MEDIO">
      <formula>NOT(ISERROR(SEARCH("MEDIO",L90)))</formula>
    </cfRule>
    <cfRule type="containsText" dxfId="1496" priority="2260" operator="containsText" text="VACACIONES">
      <formula>NOT(ISERROR(SEARCH("VACACIONES",L90)))</formula>
    </cfRule>
    <cfRule type="containsText" dxfId="1495" priority="2261" operator="containsText" text="ALTO">
      <formula>NOT(ISERROR(SEARCH("ALTO",L90)))</formula>
    </cfRule>
    <cfRule type="containsText" dxfId="1494" priority="2262" operator="containsText" text="NEDIO">
      <formula>NOT(ISERROR(SEARCH("NEDIO",L90)))</formula>
    </cfRule>
    <cfRule type="containsText" dxfId="1493" priority="2263" operator="containsText" text="SANO">
      <formula>NOT(ISERROR(SEARCH("SANO",L90)))</formula>
    </cfRule>
  </conditionalFormatting>
  <conditionalFormatting sqref="L90:L92">
    <cfRule type="containsText" dxfId="1492" priority="2258" operator="containsText" text="FALTA">
      <formula>NOT(ISERROR(SEARCH("FALTA",L90)))</formula>
    </cfRule>
  </conditionalFormatting>
  <conditionalFormatting sqref="L90:L92">
    <cfRule type="containsText" dxfId="1491" priority="2247" operator="containsText" text="MODERADO">
      <formula>NOT(ISERROR(SEARCH("MODERADO",L90)))</formula>
    </cfRule>
    <cfRule type="containsText" dxfId="1490" priority="2248" operator="containsText" text="SANO">
      <formula>NOT(ISERROR(SEARCH("SANO",L90)))</formula>
    </cfRule>
    <cfRule type="containsText" dxfId="1489" priority="2249" operator="containsText" text="ALTO">
      <formula>NOT(ISERROR(SEARCH("ALTO",L90)))</formula>
    </cfRule>
    <cfRule type="containsText" dxfId="1488" priority="2250" operator="containsText" text="BAJO">
      <formula>NOT(ISERROR(SEARCH("BAJO",L90)))</formula>
    </cfRule>
    <cfRule type="containsText" dxfId="1487" priority="2251" operator="containsText" text="FALTA">
      <formula>NOT(ISERROR(SEARCH("FALTA",L90)))</formula>
    </cfRule>
  </conditionalFormatting>
  <conditionalFormatting sqref="L90:L92">
    <cfRule type="containsText" dxfId="1486" priority="2246" operator="containsText" text="N/A">
      <formula>NOT(ISERROR(SEARCH("N/A",L90)))</formula>
    </cfRule>
  </conditionalFormatting>
  <conditionalFormatting sqref="L90:L92">
    <cfRule type="containsText" dxfId="1485" priority="2245" operator="containsText" text="MEDIO">
      <formula>NOT(ISERROR(SEARCH("MEDIO",L90)))</formula>
    </cfRule>
  </conditionalFormatting>
  <conditionalFormatting sqref="L90:L92">
    <cfRule type="containsText" dxfId="1484" priority="2252" operator="containsText" text="BAJO">
      <formula>NOT(ISERROR(SEARCH("BAJO",L90)))</formula>
    </cfRule>
    <cfRule type="containsText" dxfId="1483" priority="2253" operator="containsText" text="MODERADO">
      <formula>NOT(ISERROR(SEARCH("MODERADO",L90)))</formula>
    </cfRule>
    <cfRule type="containsText" dxfId="1482" priority="2254" operator="containsText" text="SANO">
      <formula>NOT(ISERROR(SEARCH("SANO",L90)))</formula>
    </cfRule>
    <cfRule type="containsText" dxfId="1481" priority="2255" operator="containsText" text="ALTO">
      <formula>NOT(ISERROR(SEARCH("ALTO",L90)))</formula>
    </cfRule>
    <cfRule type="colorScale" priority="225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80" priority="2257" operator="containsText" text="ALTO">
      <formula>NOT(ISERROR(SEARCH("ALTO",L90)))</formula>
    </cfRule>
  </conditionalFormatting>
  <conditionalFormatting sqref="L90:L92">
    <cfRule type="containsText" dxfId="1479" priority="2244" operator="containsText" text="R. MODERADO">
      <formula>NOT(ISERROR(SEARCH("R. MODERADO",L90)))</formula>
    </cfRule>
  </conditionalFormatting>
  <conditionalFormatting sqref="L14">
    <cfRule type="containsText" dxfId="1478" priority="62426" operator="containsText" text="BAJO">
      <formula>NOT(ISERROR(SEARCH("BAJO",L14)))</formula>
    </cfRule>
    <cfRule type="containsText" dxfId="1477" priority="62427" operator="containsText" text="MODERADO">
      <formula>NOT(ISERROR(SEARCH("MODERADO",L14)))</formula>
    </cfRule>
    <cfRule type="containsText" dxfId="1476" priority="62428" operator="containsText" text="SANO">
      <formula>NOT(ISERROR(SEARCH("SANO",L14)))</formula>
    </cfRule>
    <cfRule type="containsText" dxfId="1475" priority="62429" operator="containsText" text="ALTO">
      <formula>NOT(ISERROR(SEARCH("ALTO",L14)))</formula>
    </cfRule>
    <cfRule type="colorScale" priority="6243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74" priority="62431" operator="containsText" text="ALTO">
      <formula>NOT(ISERROR(SEARCH("ALTO",L14)))</formula>
    </cfRule>
  </conditionalFormatting>
  <conditionalFormatting sqref="L4">
    <cfRule type="containsText" dxfId="1473" priority="2205" operator="containsText" text="MODERADO">
      <formula>NOT(ISERROR(SEARCH("MODERADO",L4)))</formula>
    </cfRule>
    <cfRule type="containsText" dxfId="1472" priority="2206" operator="containsText" text="SANO">
      <formula>NOT(ISERROR(SEARCH("SANO",L4)))</formula>
    </cfRule>
    <cfRule type="containsText" dxfId="1471" priority="2207" operator="containsText" text="ALTO">
      <formula>NOT(ISERROR(SEARCH("ALTO",L4)))</formula>
    </cfRule>
    <cfRule type="containsText" dxfId="1470" priority="2208" operator="containsText" text="BAJO">
      <formula>NOT(ISERROR(SEARCH("BAJO",L4)))</formula>
    </cfRule>
    <cfRule type="containsText" dxfId="1469" priority="2209" operator="containsText" text="FALTA">
      <formula>NOT(ISERROR(SEARCH("FALTA",L4)))</formula>
    </cfRule>
  </conditionalFormatting>
  <conditionalFormatting sqref="L4">
    <cfRule type="containsText" dxfId="1468" priority="2204" operator="containsText" text="N/A">
      <formula>NOT(ISERROR(SEARCH("N/A",L4)))</formula>
    </cfRule>
  </conditionalFormatting>
  <conditionalFormatting sqref="L4">
    <cfRule type="containsText" dxfId="1467" priority="2203" operator="containsText" text="MEDIO">
      <formula>NOT(ISERROR(SEARCH("MEDIO",L4)))</formula>
    </cfRule>
  </conditionalFormatting>
  <conditionalFormatting sqref="L4">
    <cfRule type="containsText" dxfId="1466" priority="2202" operator="containsText" text="R. MODERADO">
      <formula>NOT(ISERROR(SEARCH("R. MODERADO",L4)))</formula>
    </cfRule>
  </conditionalFormatting>
  <conditionalFormatting sqref="L4">
    <cfRule type="containsText" dxfId="1465" priority="2210" operator="containsText" text="BAJO">
      <formula>NOT(ISERROR(SEARCH("BAJO",L4)))</formula>
    </cfRule>
    <cfRule type="containsText" dxfId="1464" priority="2211" operator="containsText" text="MODERADO">
      <formula>NOT(ISERROR(SEARCH("MODERADO",L4)))</formula>
    </cfRule>
    <cfRule type="containsText" dxfId="1463" priority="2212" operator="containsText" text="SANO">
      <formula>NOT(ISERROR(SEARCH("SANO",L4)))</formula>
    </cfRule>
    <cfRule type="containsText" dxfId="1462" priority="2213" operator="containsText" text="ALTO">
      <formula>NOT(ISERROR(SEARCH("ALTO",L4)))</formula>
    </cfRule>
    <cfRule type="colorScale" priority="221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61" priority="2215" operator="containsText" text="ALTO">
      <formula>NOT(ISERROR(SEARCH("ALTO",L4)))</formula>
    </cfRule>
  </conditionalFormatting>
  <conditionalFormatting sqref="N4">
    <cfRule type="containsText" dxfId="1460" priority="2191" operator="containsText" text="MODERADO">
      <formula>NOT(ISERROR(SEARCH("MODERADO",N4)))</formula>
    </cfRule>
    <cfRule type="containsText" dxfId="1459" priority="2192" operator="containsText" text="SANO">
      <formula>NOT(ISERROR(SEARCH("SANO",N4)))</formula>
    </cfRule>
    <cfRule type="containsText" dxfId="1458" priority="2193" operator="containsText" text="ALTO">
      <formula>NOT(ISERROR(SEARCH("ALTO",N4)))</formula>
    </cfRule>
    <cfRule type="containsText" dxfId="1457" priority="2194" operator="containsText" text="BAJO">
      <formula>NOT(ISERROR(SEARCH("BAJO",N4)))</formula>
    </cfRule>
    <cfRule type="containsText" dxfId="1456" priority="2195" operator="containsText" text="FALTA">
      <formula>NOT(ISERROR(SEARCH("FALTA",N4)))</formula>
    </cfRule>
  </conditionalFormatting>
  <conditionalFormatting sqref="N4">
    <cfRule type="containsText" dxfId="1455" priority="2190" operator="containsText" text="N/A">
      <formula>NOT(ISERROR(SEARCH("N/A",N4)))</formula>
    </cfRule>
  </conditionalFormatting>
  <conditionalFormatting sqref="N4">
    <cfRule type="containsText" dxfId="1454" priority="2189" operator="containsText" text="MEDIO">
      <formula>NOT(ISERROR(SEARCH("MEDIO",N4)))</formula>
    </cfRule>
  </conditionalFormatting>
  <conditionalFormatting sqref="N4">
    <cfRule type="containsText" dxfId="1453" priority="2188" operator="containsText" text="R. MODERADO">
      <formula>NOT(ISERROR(SEARCH("R. MODERADO",N4)))</formula>
    </cfRule>
  </conditionalFormatting>
  <conditionalFormatting sqref="N4">
    <cfRule type="containsText" dxfId="1452" priority="2196" operator="containsText" text="BAJO">
      <formula>NOT(ISERROR(SEARCH("BAJO",N4)))</formula>
    </cfRule>
    <cfRule type="containsText" dxfId="1451" priority="2197" operator="containsText" text="MODERADO">
      <formula>NOT(ISERROR(SEARCH("MODERADO",N4)))</formula>
    </cfRule>
    <cfRule type="containsText" dxfId="1450" priority="2198" operator="containsText" text="SANO">
      <formula>NOT(ISERROR(SEARCH("SANO",N4)))</formula>
    </cfRule>
    <cfRule type="containsText" dxfId="1449" priority="2199" operator="containsText" text="ALTO">
      <formula>NOT(ISERROR(SEARCH("ALTO",N4)))</formula>
    </cfRule>
    <cfRule type="colorScale" priority="220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48" priority="2201" operator="containsText" text="ALTO">
      <formula>NOT(ISERROR(SEARCH("ALTO",N4)))</formula>
    </cfRule>
  </conditionalFormatting>
  <conditionalFormatting sqref="N6:N11">
    <cfRule type="containsText" dxfId="1447" priority="2149" operator="containsText" text="MODERADO">
      <formula>NOT(ISERROR(SEARCH("MODERADO",N6)))</formula>
    </cfRule>
    <cfRule type="containsText" dxfId="1446" priority="2150" operator="containsText" text="SANO">
      <formula>NOT(ISERROR(SEARCH("SANO",N6)))</formula>
    </cfRule>
    <cfRule type="containsText" dxfId="1445" priority="2151" operator="containsText" text="ALTO">
      <formula>NOT(ISERROR(SEARCH("ALTO",N6)))</formula>
    </cfRule>
    <cfRule type="containsText" dxfId="1444" priority="2152" operator="containsText" text="BAJO">
      <formula>NOT(ISERROR(SEARCH("BAJO",N6)))</formula>
    </cfRule>
    <cfRule type="containsText" dxfId="1443" priority="2153" operator="containsText" text="FALTA">
      <formula>NOT(ISERROR(SEARCH("FALTA",N6)))</formula>
    </cfRule>
  </conditionalFormatting>
  <conditionalFormatting sqref="N6:N11">
    <cfRule type="containsText" dxfId="1442" priority="2148" operator="containsText" text="N/A">
      <formula>NOT(ISERROR(SEARCH("N/A",N6)))</formula>
    </cfRule>
  </conditionalFormatting>
  <conditionalFormatting sqref="N6:N11">
    <cfRule type="containsText" dxfId="1441" priority="2147" operator="containsText" text="MEDIO">
      <formula>NOT(ISERROR(SEARCH("MEDIO",N6)))</formula>
    </cfRule>
  </conditionalFormatting>
  <conditionalFormatting sqref="N6:N11">
    <cfRule type="containsText" dxfId="1440" priority="2146" operator="containsText" text="R. MODERADO">
      <formula>NOT(ISERROR(SEARCH("R. MODERADO",N6)))</formula>
    </cfRule>
  </conditionalFormatting>
  <conditionalFormatting sqref="N13">
    <cfRule type="containsText" dxfId="1439" priority="2107" operator="containsText" text="MODERADO">
      <formula>NOT(ISERROR(SEARCH("MODERADO",N13)))</formula>
    </cfRule>
    <cfRule type="containsText" dxfId="1438" priority="2108" operator="containsText" text="SANO">
      <formula>NOT(ISERROR(SEARCH("SANO",N13)))</formula>
    </cfRule>
    <cfRule type="containsText" dxfId="1437" priority="2109" operator="containsText" text="ALTO">
      <formula>NOT(ISERROR(SEARCH("ALTO",N13)))</formula>
    </cfRule>
    <cfRule type="containsText" dxfId="1436" priority="2110" operator="containsText" text="BAJO">
      <formula>NOT(ISERROR(SEARCH("BAJO",N13)))</formula>
    </cfRule>
    <cfRule type="containsText" dxfId="1435" priority="2111" operator="containsText" text="FALTA">
      <formula>NOT(ISERROR(SEARCH("FALTA",N13)))</formula>
    </cfRule>
  </conditionalFormatting>
  <conditionalFormatting sqref="N13">
    <cfRule type="containsText" dxfId="1434" priority="2106" operator="containsText" text="N/A">
      <formula>NOT(ISERROR(SEARCH("N/A",N13)))</formula>
    </cfRule>
  </conditionalFormatting>
  <conditionalFormatting sqref="N13">
    <cfRule type="containsText" dxfId="1433" priority="2105" operator="containsText" text="MEDIO">
      <formula>NOT(ISERROR(SEARCH("MEDIO",N13)))</formula>
    </cfRule>
  </conditionalFormatting>
  <conditionalFormatting sqref="N13">
    <cfRule type="containsText" dxfId="1432" priority="2104" operator="containsText" text="R. MODERADO">
      <formula>NOT(ISERROR(SEARCH("R. MODERADO",N13)))</formula>
    </cfRule>
  </conditionalFormatting>
  <conditionalFormatting sqref="N13">
    <cfRule type="containsText" dxfId="1431" priority="2112" operator="containsText" text="BAJO">
      <formula>NOT(ISERROR(SEARCH("BAJO",N13)))</formula>
    </cfRule>
    <cfRule type="containsText" dxfId="1430" priority="2113" operator="containsText" text="MODERADO">
      <formula>NOT(ISERROR(SEARCH("MODERADO",N13)))</formula>
    </cfRule>
    <cfRule type="containsText" dxfId="1429" priority="2114" operator="containsText" text="SANO">
      <formula>NOT(ISERROR(SEARCH("SANO",N13)))</formula>
    </cfRule>
    <cfRule type="containsText" dxfId="1428" priority="2115" operator="containsText" text="ALTO">
      <formula>NOT(ISERROR(SEARCH("ALTO",N13)))</formula>
    </cfRule>
    <cfRule type="colorScale" priority="211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27" priority="2117" operator="containsText" text="ALTO">
      <formula>NOT(ISERROR(SEARCH("ALTO",N13)))</formula>
    </cfRule>
  </conditionalFormatting>
  <conditionalFormatting sqref="N14:N15">
    <cfRule type="containsText" dxfId="1426" priority="2079" operator="containsText" text="MODERADO">
      <formula>NOT(ISERROR(SEARCH("MODERADO",N14)))</formula>
    </cfRule>
    <cfRule type="containsText" dxfId="1425" priority="2080" operator="containsText" text="SANO">
      <formula>NOT(ISERROR(SEARCH("SANO",N14)))</formula>
    </cfRule>
    <cfRule type="containsText" dxfId="1424" priority="2081" operator="containsText" text="ALTO">
      <formula>NOT(ISERROR(SEARCH("ALTO",N14)))</formula>
    </cfRule>
    <cfRule type="containsText" dxfId="1423" priority="2082" operator="containsText" text="BAJO">
      <formula>NOT(ISERROR(SEARCH("BAJO",N14)))</formula>
    </cfRule>
    <cfRule type="containsText" dxfId="1422" priority="2083" operator="containsText" text="FALTA">
      <formula>NOT(ISERROR(SEARCH("FALTA",N14)))</formula>
    </cfRule>
  </conditionalFormatting>
  <conditionalFormatting sqref="N14:N15">
    <cfRule type="containsText" dxfId="1421" priority="2078" operator="containsText" text="N/A">
      <formula>NOT(ISERROR(SEARCH("N/A",N14)))</formula>
    </cfRule>
  </conditionalFormatting>
  <conditionalFormatting sqref="N14:N15">
    <cfRule type="containsText" dxfId="1420" priority="2077" operator="containsText" text="MEDIO">
      <formula>NOT(ISERROR(SEARCH("MEDIO",N14)))</formula>
    </cfRule>
  </conditionalFormatting>
  <conditionalFormatting sqref="N14:N15">
    <cfRule type="containsText" dxfId="1419" priority="2084" operator="containsText" text="BAJO">
      <formula>NOT(ISERROR(SEARCH("BAJO",N14)))</formula>
    </cfRule>
    <cfRule type="containsText" dxfId="1418" priority="2085" operator="containsText" text="MODERADO">
      <formula>NOT(ISERROR(SEARCH("MODERADO",N14)))</formula>
    </cfRule>
    <cfRule type="containsText" dxfId="1417" priority="2086" operator="containsText" text="SANO">
      <formula>NOT(ISERROR(SEARCH("SANO",N14)))</formula>
    </cfRule>
    <cfRule type="containsText" dxfId="1416" priority="2087" operator="containsText" text="ALTO">
      <formula>NOT(ISERROR(SEARCH("ALTO",N14)))</formula>
    </cfRule>
    <cfRule type="colorScale" priority="208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15" priority="2089" operator="containsText" text="ALTO">
      <formula>NOT(ISERROR(SEARCH("ALTO",N14)))</formula>
    </cfRule>
  </conditionalFormatting>
  <conditionalFormatting sqref="N14:N15">
    <cfRule type="containsText" dxfId="1414" priority="2076" operator="containsText" text="R. MODERADO">
      <formula>NOT(ISERROR(SEARCH("R. MODERADO",N14)))</formula>
    </cfRule>
  </conditionalFormatting>
  <conditionalFormatting sqref="N16">
    <cfRule type="containsText" dxfId="1413" priority="2065" operator="containsText" text="MODERADO">
      <formula>NOT(ISERROR(SEARCH("MODERADO",N16)))</formula>
    </cfRule>
    <cfRule type="containsText" dxfId="1412" priority="2066" operator="containsText" text="SANO">
      <formula>NOT(ISERROR(SEARCH("SANO",N16)))</formula>
    </cfRule>
    <cfRule type="containsText" dxfId="1411" priority="2067" operator="containsText" text="ALTO">
      <formula>NOT(ISERROR(SEARCH("ALTO",N16)))</formula>
    </cfRule>
    <cfRule type="containsText" dxfId="1410" priority="2068" operator="containsText" text="BAJO">
      <formula>NOT(ISERROR(SEARCH("BAJO",N16)))</formula>
    </cfRule>
    <cfRule type="containsText" dxfId="1409" priority="2069" operator="containsText" text="FALTA">
      <formula>NOT(ISERROR(SEARCH("FALTA",N16)))</formula>
    </cfRule>
  </conditionalFormatting>
  <conditionalFormatting sqref="N16">
    <cfRule type="containsText" dxfId="1408" priority="2064" operator="containsText" text="N/A">
      <formula>NOT(ISERROR(SEARCH("N/A",N16)))</formula>
    </cfRule>
  </conditionalFormatting>
  <conditionalFormatting sqref="N16">
    <cfRule type="containsText" dxfId="1407" priority="2063" operator="containsText" text="MEDIO">
      <formula>NOT(ISERROR(SEARCH("MEDIO",N16)))</formula>
    </cfRule>
  </conditionalFormatting>
  <conditionalFormatting sqref="N16">
    <cfRule type="containsText" dxfId="1406" priority="2070" operator="containsText" text="BAJO">
      <formula>NOT(ISERROR(SEARCH("BAJO",N16)))</formula>
    </cfRule>
    <cfRule type="containsText" dxfId="1405" priority="2071" operator="containsText" text="MODERADO">
      <formula>NOT(ISERROR(SEARCH("MODERADO",N16)))</formula>
    </cfRule>
    <cfRule type="containsText" dxfId="1404" priority="2072" operator="containsText" text="SANO">
      <formula>NOT(ISERROR(SEARCH("SANO",N16)))</formula>
    </cfRule>
    <cfRule type="containsText" dxfId="1403" priority="2073" operator="containsText" text="ALTO">
      <formula>NOT(ISERROR(SEARCH("ALTO",N16)))</formula>
    </cfRule>
    <cfRule type="colorScale" priority="207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02" priority="2075" operator="containsText" text="ALTO">
      <formula>NOT(ISERROR(SEARCH("ALTO",N16)))</formula>
    </cfRule>
  </conditionalFormatting>
  <conditionalFormatting sqref="N16">
    <cfRule type="containsText" dxfId="1401" priority="2062" operator="containsText" text="R. MODERADO">
      <formula>NOT(ISERROR(SEARCH("R. MODERADO",N16)))</formula>
    </cfRule>
  </conditionalFormatting>
  <conditionalFormatting sqref="N17:N18">
    <cfRule type="containsText" dxfId="1400" priority="2051" operator="containsText" text="MODERADO">
      <formula>NOT(ISERROR(SEARCH("MODERADO",N17)))</formula>
    </cfRule>
    <cfRule type="containsText" dxfId="1399" priority="2052" operator="containsText" text="SANO">
      <formula>NOT(ISERROR(SEARCH("SANO",N17)))</formula>
    </cfRule>
    <cfRule type="containsText" dxfId="1398" priority="2053" operator="containsText" text="ALTO">
      <formula>NOT(ISERROR(SEARCH("ALTO",N17)))</formula>
    </cfRule>
    <cfRule type="containsText" dxfId="1397" priority="2054" operator="containsText" text="BAJO">
      <formula>NOT(ISERROR(SEARCH("BAJO",N17)))</formula>
    </cfRule>
    <cfRule type="containsText" dxfId="1396" priority="2055" operator="containsText" text="FALTA">
      <formula>NOT(ISERROR(SEARCH("FALTA",N17)))</formula>
    </cfRule>
  </conditionalFormatting>
  <conditionalFormatting sqref="N17:N18">
    <cfRule type="containsText" dxfId="1395" priority="2050" operator="containsText" text="N/A">
      <formula>NOT(ISERROR(SEARCH("N/A",N17)))</formula>
    </cfRule>
  </conditionalFormatting>
  <conditionalFormatting sqref="N17:N18">
    <cfRule type="containsText" dxfId="1394" priority="2049" operator="containsText" text="MEDIO">
      <formula>NOT(ISERROR(SEARCH("MEDIO",N17)))</formula>
    </cfRule>
  </conditionalFormatting>
  <conditionalFormatting sqref="N17:N18">
    <cfRule type="containsText" dxfId="1393" priority="2048" operator="containsText" text="R. MODERADO">
      <formula>NOT(ISERROR(SEARCH("R. MODERADO",N17)))</formula>
    </cfRule>
  </conditionalFormatting>
  <conditionalFormatting sqref="N17:N18">
    <cfRule type="containsText" dxfId="1392" priority="2056" operator="containsText" text="BAJO">
      <formula>NOT(ISERROR(SEARCH("BAJO",N17)))</formula>
    </cfRule>
    <cfRule type="containsText" dxfId="1391" priority="2057" operator="containsText" text="MODERADO">
      <formula>NOT(ISERROR(SEARCH("MODERADO",N17)))</formula>
    </cfRule>
    <cfRule type="containsText" dxfId="1390" priority="2058" operator="containsText" text="SANO">
      <formula>NOT(ISERROR(SEARCH("SANO",N17)))</formula>
    </cfRule>
    <cfRule type="containsText" dxfId="1389" priority="2059" operator="containsText" text="ALTO">
      <formula>NOT(ISERROR(SEARCH("ALTO",N17)))</formula>
    </cfRule>
    <cfRule type="colorScale" priority="206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88" priority="2061" operator="containsText" text="ALTO">
      <formula>NOT(ISERROR(SEARCH("ALTO",N17)))</formula>
    </cfRule>
  </conditionalFormatting>
  <conditionalFormatting sqref="L18">
    <cfRule type="containsText" dxfId="1387" priority="2037" operator="containsText" text="MODERADO">
      <formula>NOT(ISERROR(SEARCH("MODERADO",L18)))</formula>
    </cfRule>
    <cfRule type="containsText" dxfId="1386" priority="2038" operator="containsText" text="SANO">
      <formula>NOT(ISERROR(SEARCH("SANO",L18)))</formula>
    </cfRule>
    <cfRule type="containsText" dxfId="1385" priority="2039" operator="containsText" text="ALTO">
      <formula>NOT(ISERROR(SEARCH("ALTO",L18)))</formula>
    </cfRule>
    <cfRule type="containsText" dxfId="1384" priority="2040" operator="containsText" text="BAJO">
      <formula>NOT(ISERROR(SEARCH("BAJO",L18)))</formula>
    </cfRule>
    <cfRule type="containsText" dxfId="1383" priority="2041" operator="containsText" text="FALTA">
      <formula>NOT(ISERROR(SEARCH("FALTA",L18)))</formula>
    </cfRule>
  </conditionalFormatting>
  <conditionalFormatting sqref="L18">
    <cfRule type="containsText" dxfId="1382" priority="2036" operator="containsText" text="N/A">
      <formula>NOT(ISERROR(SEARCH("N/A",L18)))</formula>
    </cfRule>
  </conditionalFormatting>
  <conditionalFormatting sqref="L18">
    <cfRule type="containsText" dxfId="1381" priority="2035" operator="containsText" text="MEDIO">
      <formula>NOT(ISERROR(SEARCH("MEDIO",L18)))</formula>
    </cfRule>
  </conditionalFormatting>
  <conditionalFormatting sqref="L18">
    <cfRule type="containsText" dxfId="1380" priority="2034" operator="containsText" text="R. MODERADO">
      <formula>NOT(ISERROR(SEARCH("R. MODERADO",L18)))</formula>
    </cfRule>
  </conditionalFormatting>
  <conditionalFormatting sqref="L18">
    <cfRule type="containsText" dxfId="1379" priority="2042" operator="containsText" text="BAJO">
      <formula>NOT(ISERROR(SEARCH("BAJO",L18)))</formula>
    </cfRule>
    <cfRule type="containsText" dxfId="1378" priority="2043" operator="containsText" text="MODERADO">
      <formula>NOT(ISERROR(SEARCH("MODERADO",L18)))</formula>
    </cfRule>
    <cfRule type="containsText" dxfId="1377" priority="2044" operator="containsText" text="SANO">
      <formula>NOT(ISERROR(SEARCH("SANO",L18)))</formula>
    </cfRule>
    <cfRule type="containsText" dxfId="1376" priority="2045" operator="containsText" text="ALTO">
      <formula>NOT(ISERROR(SEARCH("ALTO",L18)))</formula>
    </cfRule>
    <cfRule type="colorScale" priority="204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75" priority="2047" operator="containsText" text="ALTO">
      <formula>NOT(ISERROR(SEARCH("ALTO",L18)))</formula>
    </cfRule>
  </conditionalFormatting>
  <conditionalFormatting sqref="L19:N19">
    <cfRule type="containsText" dxfId="1374" priority="2023" operator="containsText" text="MODERADO">
      <formula>NOT(ISERROR(SEARCH("MODERADO",L19)))</formula>
    </cfRule>
    <cfRule type="containsText" dxfId="1373" priority="2024" operator="containsText" text="SANO">
      <formula>NOT(ISERROR(SEARCH("SANO",L19)))</formula>
    </cfRule>
    <cfRule type="containsText" dxfId="1372" priority="2025" operator="containsText" text="ALTO">
      <formula>NOT(ISERROR(SEARCH("ALTO",L19)))</formula>
    </cfRule>
    <cfRule type="containsText" dxfId="1371" priority="2026" operator="containsText" text="BAJO">
      <formula>NOT(ISERROR(SEARCH("BAJO",L19)))</formula>
    </cfRule>
    <cfRule type="containsText" dxfId="1370" priority="2027" operator="containsText" text="FALTA">
      <formula>NOT(ISERROR(SEARCH("FALTA",L19)))</formula>
    </cfRule>
  </conditionalFormatting>
  <conditionalFormatting sqref="L19:N19">
    <cfRule type="containsText" dxfId="1369" priority="2022" operator="containsText" text="N/A">
      <formula>NOT(ISERROR(SEARCH("N/A",L19)))</formula>
    </cfRule>
  </conditionalFormatting>
  <conditionalFormatting sqref="L19:N19">
    <cfRule type="containsText" dxfId="1368" priority="2021" operator="containsText" text="MEDIO">
      <formula>NOT(ISERROR(SEARCH("MEDIO",L19)))</formula>
    </cfRule>
  </conditionalFormatting>
  <conditionalFormatting sqref="L19:N19">
    <cfRule type="containsText" dxfId="1367" priority="2028" operator="containsText" text="BAJO">
      <formula>NOT(ISERROR(SEARCH("BAJO",L19)))</formula>
    </cfRule>
    <cfRule type="containsText" dxfId="1366" priority="2029" operator="containsText" text="MODERADO">
      <formula>NOT(ISERROR(SEARCH("MODERADO",L19)))</formula>
    </cfRule>
    <cfRule type="containsText" dxfId="1365" priority="2030" operator="containsText" text="SANO">
      <formula>NOT(ISERROR(SEARCH("SANO",L19)))</formula>
    </cfRule>
    <cfRule type="containsText" dxfId="1364" priority="2031" operator="containsText" text="ALTO">
      <formula>NOT(ISERROR(SEARCH("ALTO",L19)))</formula>
    </cfRule>
    <cfRule type="colorScale" priority="203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63" priority="2033" operator="containsText" text="ALTO">
      <formula>NOT(ISERROR(SEARCH("ALTO",L19)))</formula>
    </cfRule>
  </conditionalFormatting>
  <conditionalFormatting sqref="L19:N19">
    <cfRule type="containsText" dxfId="1362" priority="2020" operator="containsText" text="R. MODERADO">
      <formula>NOT(ISERROR(SEARCH("R. MODERADO",L19)))</formula>
    </cfRule>
  </conditionalFormatting>
  <conditionalFormatting sqref="N20">
    <cfRule type="containsText" dxfId="1361" priority="2009" operator="containsText" text="MODERADO">
      <formula>NOT(ISERROR(SEARCH("MODERADO",N20)))</formula>
    </cfRule>
    <cfRule type="containsText" dxfId="1360" priority="2010" operator="containsText" text="SANO">
      <formula>NOT(ISERROR(SEARCH("SANO",N20)))</formula>
    </cfRule>
    <cfRule type="containsText" dxfId="1359" priority="2011" operator="containsText" text="ALTO">
      <formula>NOT(ISERROR(SEARCH("ALTO",N20)))</formula>
    </cfRule>
    <cfRule type="containsText" dxfId="1358" priority="2012" operator="containsText" text="BAJO">
      <formula>NOT(ISERROR(SEARCH("BAJO",N20)))</formula>
    </cfRule>
    <cfRule type="containsText" dxfId="1357" priority="2013" operator="containsText" text="FALTA">
      <formula>NOT(ISERROR(SEARCH("FALTA",N20)))</formula>
    </cfRule>
  </conditionalFormatting>
  <conditionalFormatting sqref="N20">
    <cfRule type="containsText" dxfId="1356" priority="2008" operator="containsText" text="N/A">
      <formula>NOT(ISERROR(SEARCH("N/A",N20)))</formula>
    </cfRule>
  </conditionalFormatting>
  <conditionalFormatting sqref="N20">
    <cfRule type="containsText" dxfId="1355" priority="2007" operator="containsText" text="MEDIO">
      <formula>NOT(ISERROR(SEARCH("MEDIO",N20)))</formula>
    </cfRule>
  </conditionalFormatting>
  <conditionalFormatting sqref="N20">
    <cfRule type="containsText" dxfId="1354" priority="2006" operator="containsText" text="R. MODERADO">
      <formula>NOT(ISERROR(SEARCH("R. MODERADO",N20)))</formula>
    </cfRule>
  </conditionalFormatting>
  <conditionalFormatting sqref="N20">
    <cfRule type="containsText" dxfId="1353" priority="2014" operator="containsText" text="BAJO">
      <formula>NOT(ISERROR(SEARCH("BAJO",N20)))</formula>
    </cfRule>
    <cfRule type="containsText" dxfId="1352" priority="2015" operator="containsText" text="MODERADO">
      <formula>NOT(ISERROR(SEARCH("MODERADO",N20)))</formula>
    </cfRule>
    <cfRule type="containsText" dxfId="1351" priority="2016" operator="containsText" text="SANO">
      <formula>NOT(ISERROR(SEARCH("SANO",N20)))</formula>
    </cfRule>
    <cfRule type="containsText" dxfId="1350" priority="2017" operator="containsText" text="ALTO">
      <formula>NOT(ISERROR(SEARCH("ALTO",N20)))</formula>
    </cfRule>
    <cfRule type="colorScale" priority="201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49" priority="2019" operator="containsText" text="ALTO">
      <formula>NOT(ISERROR(SEARCH("ALTO",N20)))</formula>
    </cfRule>
  </conditionalFormatting>
  <conditionalFormatting sqref="N21">
    <cfRule type="containsText" dxfId="1348" priority="1995" operator="containsText" text="MODERADO">
      <formula>NOT(ISERROR(SEARCH("MODERADO",N21)))</formula>
    </cfRule>
    <cfRule type="containsText" dxfId="1347" priority="1996" operator="containsText" text="SANO">
      <formula>NOT(ISERROR(SEARCH("SANO",N21)))</formula>
    </cfRule>
    <cfRule type="containsText" dxfId="1346" priority="1997" operator="containsText" text="ALTO">
      <formula>NOT(ISERROR(SEARCH("ALTO",N21)))</formula>
    </cfRule>
    <cfRule type="containsText" dxfId="1345" priority="1998" operator="containsText" text="BAJO">
      <formula>NOT(ISERROR(SEARCH("BAJO",N21)))</formula>
    </cfRule>
    <cfRule type="containsText" dxfId="1344" priority="1999" operator="containsText" text="FALTA">
      <formula>NOT(ISERROR(SEARCH("FALTA",N21)))</formula>
    </cfRule>
  </conditionalFormatting>
  <conditionalFormatting sqref="N21">
    <cfRule type="containsText" dxfId="1343" priority="1994" operator="containsText" text="N/A">
      <formula>NOT(ISERROR(SEARCH("N/A",N21)))</formula>
    </cfRule>
  </conditionalFormatting>
  <conditionalFormatting sqref="N21">
    <cfRule type="containsText" dxfId="1342" priority="1993" operator="containsText" text="MEDIO">
      <formula>NOT(ISERROR(SEARCH("MEDIO",N21)))</formula>
    </cfRule>
  </conditionalFormatting>
  <conditionalFormatting sqref="N21">
    <cfRule type="containsText" dxfId="1341" priority="2000" operator="containsText" text="BAJO">
      <formula>NOT(ISERROR(SEARCH("BAJO",N21)))</formula>
    </cfRule>
    <cfRule type="containsText" dxfId="1340" priority="2001" operator="containsText" text="MODERADO">
      <formula>NOT(ISERROR(SEARCH("MODERADO",N21)))</formula>
    </cfRule>
    <cfRule type="containsText" dxfId="1339" priority="2002" operator="containsText" text="SANO">
      <formula>NOT(ISERROR(SEARCH("SANO",N21)))</formula>
    </cfRule>
    <cfRule type="containsText" dxfId="1338" priority="2003" operator="containsText" text="ALTO">
      <formula>NOT(ISERROR(SEARCH("ALTO",N21)))</formula>
    </cfRule>
    <cfRule type="colorScale" priority="200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37" priority="2005" operator="containsText" text="ALTO">
      <formula>NOT(ISERROR(SEARCH("ALTO",N21)))</formula>
    </cfRule>
  </conditionalFormatting>
  <conditionalFormatting sqref="N21">
    <cfRule type="containsText" dxfId="1336" priority="1992" operator="containsText" text="R. MODERADO">
      <formula>NOT(ISERROR(SEARCH("R. MODERADO",N21)))</formula>
    </cfRule>
  </conditionalFormatting>
  <conditionalFormatting sqref="N22">
    <cfRule type="containsText" dxfId="1335" priority="1981" operator="containsText" text="MODERADO">
      <formula>NOT(ISERROR(SEARCH("MODERADO",N22)))</formula>
    </cfRule>
    <cfRule type="containsText" dxfId="1334" priority="1982" operator="containsText" text="SANO">
      <formula>NOT(ISERROR(SEARCH("SANO",N22)))</formula>
    </cfRule>
    <cfRule type="containsText" dxfId="1333" priority="1983" operator="containsText" text="ALTO">
      <formula>NOT(ISERROR(SEARCH("ALTO",N22)))</formula>
    </cfRule>
    <cfRule type="containsText" dxfId="1332" priority="1984" operator="containsText" text="BAJO">
      <formula>NOT(ISERROR(SEARCH("BAJO",N22)))</formula>
    </cfRule>
    <cfRule type="containsText" dxfId="1331" priority="1985" operator="containsText" text="FALTA">
      <formula>NOT(ISERROR(SEARCH("FALTA",N22)))</formula>
    </cfRule>
  </conditionalFormatting>
  <conditionalFormatting sqref="N22">
    <cfRule type="containsText" dxfId="1330" priority="1980" operator="containsText" text="N/A">
      <formula>NOT(ISERROR(SEARCH("N/A",N22)))</formula>
    </cfRule>
  </conditionalFormatting>
  <conditionalFormatting sqref="N22">
    <cfRule type="containsText" dxfId="1329" priority="1979" operator="containsText" text="MEDIO">
      <formula>NOT(ISERROR(SEARCH("MEDIO",N22)))</formula>
    </cfRule>
  </conditionalFormatting>
  <conditionalFormatting sqref="N22">
    <cfRule type="containsText" dxfId="1328" priority="1986" operator="containsText" text="BAJO">
      <formula>NOT(ISERROR(SEARCH("BAJO",N22)))</formula>
    </cfRule>
    <cfRule type="containsText" dxfId="1327" priority="1987" operator="containsText" text="MODERADO">
      <formula>NOT(ISERROR(SEARCH("MODERADO",N22)))</formula>
    </cfRule>
    <cfRule type="containsText" dxfId="1326" priority="1988" operator="containsText" text="SANO">
      <formula>NOT(ISERROR(SEARCH("SANO",N22)))</formula>
    </cfRule>
    <cfRule type="containsText" dxfId="1325" priority="1989" operator="containsText" text="ALTO">
      <formula>NOT(ISERROR(SEARCH("ALTO",N22)))</formula>
    </cfRule>
    <cfRule type="colorScale" priority="199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24" priority="1991" operator="containsText" text="ALTO">
      <formula>NOT(ISERROR(SEARCH("ALTO",N22)))</formula>
    </cfRule>
  </conditionalFormatting>
  <conditionalFormatting sqref="N22">
    <cfRule type="containsText" dxfId="1323" priority="1978" operator="containsText" text="R. MODERADO">
      <formula>NOT(ISERROR(SEARCH("R. MODERADO",N22)))</formula>
    </cfRule>
  </conditionalFormatting>
  <conditionalFormatting sqref="N23">
    <cfRule type="containsText" dxfId="1322" priority="1967" operator="containsText" text="MODERADO">
      <formula>NOT(ISERROR(SEARCH("MODERADO",N23)))</formula>
    </cfRule>
    <cfRule type="containsText" dxfId="1321" priority="1968" operator="containsText" text="SANO">
      <formula>NOT(ISERROR(SEARCH("SANO",N23)))</formula>
    </cfRule>
    <cfRule type="containsText" dxfId="1320" priority="1969" operator="containsText" text="ALTO">
      <formula>NOT(ISERROR(SEARCH("ALTO",N23)))</formula>
    </cfRule>
    <cfRule type="containsText" dxfId="1319" priority="1970" operator="containsText" text="BAJO">
      <formula>NOT(ISERROR(SEARCH("BAJO",N23)))</formula>
    </cfRule>
    <cfRule type="containsText" dxfId="1318" priority="1971" operator="containsText" text="FALTA">
      <formula>NOT(ISERROR(SEARCH("FALTA",N23)))</formula>
    </cfRule>
  </conditionalFormatting>
  <conditionalFormatting sqref="N23">
    <cfRule type="containsText" dxfId="1317" priority="1966" operator="containsText" text="N/A">
      <formula>NOT(ISERROR(SEARCH("N/A",N23)))</formula>
    </cfRule>
  </conditionalFormatting>
  <conditionalFormatting sqref="N23">
    <cfRule type="containsText" dxfId="1316" priority="1965" operator="containsText" text="MEDIO">
      <formula>NOT(ISERROR(SEARCH("MEDIO",N23)))</formula>
    </cfRule>
  </conditionalFormatting>
  <conditionalFormatting sqref="N23">
    <cfRule type="containsText" dxfId="1315" priority="1972" operator="containsText" text="BAJO">
      <formula>NOT(ISERROR(SEARCH("BAJO",N23)))</formula>
    </cfRule>
    <cfRule type="containsText" dxfId="1314" priority="1973" operator="containsText" text="MODERADO">
      <formula>NOT(ISERROR(SEARCH("MODERADO",N23)))</formula>
    </cfRule>
    <cfRule type="containsText" dxfId="1313" priority="1974" operator="containsText" text="SANO">
      <formula>NOT(ISERROR(SEARCH("SANO",N23)))</formula>
    </cfRule>
    <cfRule type="containsText" dxfId="1312" priority="1975" operator="containsText" text="ALTO">
      <formula>NOT(ISERROR(SEARCH("ALTO",N23)))</formula>
    </cfRule>
    <cfRule type="colorScale" priority="197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11" priority="1977" operator="containsText" text="ALTO">
      <formula>NOT(ISERROR(SEARCH("ALTO",N23)))</formula>
    </cfRule>
  </conditionalFormatting>
  <conditionalFormatting sqref="N23">
    <cfRule type="containsText" dxfId="1310" priority="1964" operator="containsText" text="R. MODERADO">
      <formula>NOT(ISERROR(SEARCH("R. MODERADO",N23)))</formula>
    </cfRule>
  </conditionalFormatting>
  <conditionalFormatting sqref="N25:N26">
    <cfRule type="containsText" dxfId="1309" priority="1953" operator="containsText" text="MODERADO">
      <formula>NOT(ISERROR(SEARCH("MODERADO",N25)))</formula>
    </cfRule>
    <cfRule type="containsText" dxfId="1308" priority="1954" operator="containsText" text="SANO">
      <formula>NOT(ISERROR(SEARCH("SANO",N25)))</formula>
    </cfRule>
    <cfRule type="containsText" dxfId="1307" priority="1955" operator="containsText" text="ALTO">
      <formula>NOT(ISERROR(SEARCH("ALTO",N25)))</formula>
    </cfRule>
    <cfRule type="containsText" dxfId="1306" priority="1956" operator="containsText" text="BAJO">
      <formula>NOT(ISERROR(SEARCH("BAJO",N25)))</formula>
    </cfRule>
    <cfRule type="containsText" dxfId="1305" priority="1957" operator="containsText" text="FALTA">
      <formula>NOT(ISERROR(SEARCH("FALTA",N25)))</formula>
    </cfRule>
  </conditionalFormatting>
  <conditionalFormatting sqref="N25:N26">
    <cfRule type="containsText" dxfId="1304" priority="1952" operator="containsText" text="N/A">
      <formula>NOT(ISERROR(SEARCH("N/A",N25)))</formula>
    </cfRule>
  </conditionalFormatting>
  <conditionalFormatting sqref="N25:N26">
    <cfRule type="containsText" dxfId="1303" priority="1951" operator="containsText" text="MEDIO">
      <formula>NOT(ISERROR(SEARCH("MEDIO",N25)))</formula>
    </cfRule>
  </conditionalFormatting>
  <conditionalFormatting sqref="N25:N26">
    <cfRule type="containsText" dxfId="1302" priority="1958" operator="containsText" text="BAJO">
      <formula>NOT(ISERROR(SEARCH("BAJO",N25)))</formula>
    </cfRule>
    <cfRule type="containsText" dxfId="1301" priority="1959" operator="containsText" text="MODERADO">
      <formula>NOT(ISERROR(SEARCH("MODERADO",N25)))</formula>
    </cfRule>
    <cfRule type="containsText" dxfId="1300" priority="1960" operator="containsText" text="SANO">
      <formula>NOT(ISERROR(SEARCH("SANO",N25)))</formula>
    </cfRule>
    <cfRule type="containsText" dxfId="1299" priority="1961" operator="containsText" text="ALTO">
      <formula>NOT(ISERROR(SEARCH("ALTO",N25)))</formula>
    </cfRule>
    <cfRule type="colorScale" priority="196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98" priority="1963" operator="containsText" text="ALTO">
      <formula>NOT(ISERROR(SEARCH("ALTO",N25)))</formula>
    </cfRule>
  </conditionalFormatting>
  <conditionalFormatting sqref="N25:N26">
    <cfRule type="containsText" dxfId="1297" priority="1950" operator="containsText" text="R. MODERADO">
      <formula>NOT(ISERROR(SEARCH("R. MODERADO",N25)))</formula>
    </cfRule>
  </conditionalFormatting>
  <conditionalFormatting sqref="N24">
    <cfRule type="containsText" dxfId="1296" priority="1939" operator="containsText" text="MODERADO">
      <formula>NOT(ISERROR(SEARCH("MODERADO",N24)))</formula>
    </cfRule>
    <cfRule type="containsText" dxfId="1295" priority="1940" operator="containsText" text="SANO">
      <formula>NOT(ISERROR(SEARCH("SANO",N24)))</formula>
    </cfRule>
    <cfRule type="containsText" dxfId="1294" priority="1941" operator="containsText" text="ALTO">
      <formula>NOT(ISERROR(SEARCH("ALTO",N24)))</formula>
    </cfRule>
    <cfRule type="containsText" dxfId="1293" priority="1942" operator="containsText" text="BAJO">
      <formula>NOT(ISERROR(SEARCH("BAJO",N24)))</formula>
    </cfRule>
    <cfRule type="containsText" dxfId="1292" priority="1943" operator="containsText" text="FALTA">
      <formula>NOT(ISERROR(SEARCH("FALTA",N24)))</formula>
    </cfRule>
  </conditionalFormatting>
  <conditionalFormatting sqref="N24">
    <cfRule type="containsText" dxfId="1291" priority="1938" operator="containsText" text="N/A">
      <formula>NOT(ISERROR(SEARCH("N/A",N24)))</formula>
    </cfRule>
  </conditionalFormatting>
  <conditionalFormatting sqref="N24">
    <cfRule type="containsText" dxfId="1290" priority="1937" operator="containsText" text="MEDIO">
      <formula>NOT(ISERROR(SEARCH("MEDIO",N24)))</formula>
    </cfRule>
  </conditionalFormatting>
  <conditionalFormatting sqref="N24">
    <cfRule type="containsText" dxfId="1289" priority="1944" operator="containsText" text="BAJO">
      <formula>NOT(ISERROR(SEARCH("BAJO",N24)))</formula>
    </cfRule>
    <cfRule type="containsText" dxfId="1288" priority="1945" operator="containsText" text="MODERADO">
      <formula>NOT(ISERROR(SEARCH("MODERADO",N24)))</formula>
    </cfRule>
    <cfRule type="containsText" dxfId="1287" priority="1946" operator="containsText" text="SANO">
      <formula>NOT(ISERROR(SEARCH("SANO",N24)))</formula>
    </cfRule>
    <cfRule type="containsText" dxfId="1286" priority="1947" operator="containsText" text="ALTO">
      <formula>NOT(ISERROR(SEARCH("ALTO",N24)))</formula>
    </cfRule>
    <cfRule type="colorScale" priority="194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85" priority="1949" operator="containsText" text="ALTO">
      <formula>NOT(ISERROR(SEARCH("ALTO",N24)))</formula>
    </cfRule>
  </conditionalFormatting>
  <conditionalFormatting sqref="N24">
    <cfRule type="containsText" dxfId="1284" priority="1936" operator="containsText" text="R. MODERADO">
      <formula>NOT(ISERROR(SEARCH("R. MODERADO",N24)))</formula>
    </cfRule>
  </conditionalFormatting>
  <conditionalFormatting sqref="L27:N27">
    <cfRule type="containsText" dxfId="1283" priority="1925" operator="containsText" text="MODERADO">
      <formula>NOT(ISERROR(SEARCH("MODERADO",L27)))</formula>
    </cfRule>
    <cfRule type="containsText" dxfId="1282" priority="1926" operator="containsText" text="SANO">
      <formula>NOT(ISERROR(SEARCH("SANO",L27)))</formula>
    </cfRule>
    <cfRule type="containsText" dxfId="1281" priority="1927" operator="containsText" text="ALTO">
      <formula>NOT(ISERROR(SEARCH("ALTO",L27)))</formula>
    </cfRule>
    <cfRule type="containsText" dxfId="1280" priority="1928" operator="containsText" text="BAJO">
      <formula>NOT(ISERROR(SEARCH("BAJO",L27)))</formula>
    </cfRule>
    <cfRule type="containsText" dxfId="1279" priority="1929" operator="containsText" text="FALTA">
      <formula>NOT(ISERROR(SEARCH("FALTA",L27)))</formula>
    </cfRule>
  </conditionalFormatting>
  <conditionalFormatting sqref="L27:N27">
    <cfRule type="containsText" dxfId="1278" priority="1924" operator="containsText" text="N/A">
      <formula>NOT(ISERROR(SEARCH("N/A",L27)))</formula>
    </cfRule>
  </conditionalFormatting>
  <conditionalFormatting sqref="L27:N27">
    <cfRule type="containsText" dxfId="1277" priority="1923" operator="containsText" text="MEDIO">
      <formula>NOT(ISERROR(SEARCH("MEDIO",L27)))</formula>
    </cfRule>
  </conditionalFormatting>
  <conditionalFormatting sqref="L27:N27">
    <cfRule type="containsText" dxfId="1276" priority="1922" operator="containsText" text="R. MODERADO">
      <formula>NOT(ISERROR(SEARCH("R. MODERADO",L27)))</formula>
    </cfRule>
  </conditionalFormatting>
  <conditionalFormatting sqref="L27:N27">
    <cfRule type="containsText" dxfId="1275" priority="1930" operator="containsText" text="BAJO">
      <formula>NOT(ISERROR(SEARCH("BAJO",L27)))</formula>
    </cfRule>
    <cfRule type="containsText" dxfId="1274" priority="1931" operator="containsText" text="MODERADO">
      <formula>NOT(ISERROR(SEARCH("MODERADO",L27)))</formula>
    </cfRule>
    <cfRule type="containsText" dxfId="1273" priority="1932" operator="containsText" text="SANO">
      <formula>NOT(ISERROR(SEARCH("SANO",L27)))</formula>
    </cfRule>
    <cfRule type="containsText" dxfId="1272" priority="1933" operator="containsText" text="ALTO">
      <formula>NOT(ISERROR(SEARCH("ALTO",L27)))</formula>
    </cfRule>
    <cfRule type="colorScale" priority="193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71" priority="1935" operator="containsText" text="ALTO">
      <formula>NOT(ISERROR(SEARCH("ALTO",L27)))</formula>
    </cfRule>
  </conditionalFormatting>
  <conditionalFormatting sqref="N28">
    <cfRule type="containsText" dxfId="1270" priority="1911" operator="containsText" text="MODERADO">
      <formula>NOT(ISERROR(SEARCH("MODERADO",N28)))</formula>
    </cfRule>
    <cfRule type="containsText" dxfId="1269" priority="1912" operator="containsText" text="SANO">
      <formula>NOT(ISERROR(SEARCH("SANO",N28)))</formula>
    </cfRule>
    <cfRule type="containsText" dxfId="1268" priority="1913" operator="containsText" text="ALTO">
      <formula>NOT(ISERROR(SEARCH("ALTO",N28)))</formula>
    </cfRule>
    <cfRule type="containsText" dxfId="1267" priority="1914" operator="containsText" text="BAJO">
      <formula>NOT(ISERROR(SEARCH("BAJO",N28)))</formula>
    </cfRule>
    <cfRule type="containsText" dxfId="1266" priority="1915" operator="containsText" text="FALTA">
      <formula>NOT(ISERROR(SEARCH("FALTA",N28)))</formula>
    </cfRule>
  </conditionalFormatting>
  <conditionalFormatting sqref="N28">
    <cfRule type="containsText" dxfId="1265" priority="1910" operator="containsText" text="N/A">
      <formula>NOT(ISERROR(SEARCH("N/A",N28)))</formula>
    </cfRule>
  </conditionalFormatting>
  <conditionalFormatting sqref="N28">
    <cfRule type="containsText" dxfId="1264" priority="1909" operator="containsText" text="MEDIO">
      <formula>NOT(ISERROR(SEARCH("MEDIO",N28)))</formula>
    </cfRule>
  </conditionalFormatting>
  <conditionalFormatting sqref="N28">
    <cfRule type="containsText" dxfId="1263" priority="1916" operator="containsText" text="BAJO">
      <formula>NOT(ISERROR(SEARCH("BAJO",N28)))</formula>
    </cfRule>
    <cfRule type="containsText" dxfId="1262" priority="1917" operator="containsText" text="MODERADO">
      <formula>NOT(ISERROR(SEARCH("MODERADO",N28)))</formula>
    </cfRule>
    <cfRule type="containsText" dxfId="1261" priority="1918" operator="containsText" text="SANO">
      <formula>NOT(ISERROR(SEARCH("SANO",N28)))</formula>
    </cfRule>
    <cfRule type="containsText" dxfId="1260" priority="1919" operator="containsText" text="ALTO">
      <formula>NOT(ISERROR(SEARCH("ALTO",N28)))</formula>
    </cfRule>
    <cfRule type="colorScale" priority="192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59" priority="1921" operator="containsText" text="ALTO">
      <formula>NOT(ISERROR(SEARCH("ALTO",N28)))</formula>
    </cfRule>
  </conditionalFormatting>
  <conditionalFormatting sqref="N28">
    <cfRule type="containsText" dxfId="1258" priority="1908" operator="containsText" text="R. MODERADO">
      <formula>NOT(ISERROR(SEARCH("R. MODERADO",N28)))</formula>
    </cfRule>
  </conditionalFormatting>
  <conditionalFormatting sqref="N29">
    <cfRule type="containsText" dxfId="1257" priority="1897" operator="containsText" text="MODERADO">
      <formula>NOT(ISERROR(SEARCH("MODERADO",N29)))</formula>
    </cfRule>
    <cfRule type="containsText" dxfId="1256" priority="1898" operator="containsText" text="SANO">
      <formula>NOT(ISERROR(SEARCH("SANO",N29)))</formula>
    </cfRule>
    <cfRule type="containsText" dxfId="1255" priority="1899" operator="containsText" text="ALTO">
      <formula>NOT(ISERROR(SEARCH("ALTO",N29)))</formula>
    </cfRule>
    <cfRule type="containsText" dxfId="1254" priority="1900" operator="containsText" text="BAJO">
      <formula>NOT(ISERROR(SEARCH("BAJO",N29)))</formula>
    </cfRule>
    <cfRule type="containsText" dxfId="1253" priority="1901" operator="containsText" text="FALTA">
      <formula>NOT(ISERROR(SEARCH("FALTA",N29)))</formula>
    </cfRule>
  </conditionalFormatting>
  <conditionalFormatting sqref="N29">
    <cfRule type="containsText" dxfId="1252" priority="1896" operator="containsText" text="N/A">
      <formula>NOT(ISERROR(SEARCH("N/A",N29)))</formula>
    </cfRule>
  </conditionalFormatting>
  <conditionalFormatting sqref="N29">
    <cfRule type="containsText" dxfId="1251" priority="1895" operator="containsText" text="MEDIO">
      <formula>NOT(ISERROR(SEARCH("MEDIO",N29)))</formula>
    </cfRule>
  </conditionalFormatting>
  <conditionalFormatting sqref="N29">
    <cfRule type="containsText" dxfId="1250" priority="1894" operator="containsText" text="R. MODERADO">
      <formula>NOT(ISERROR(SEARCH("R. MODERADO",N29)))</formula>
    </cfRule>
  </conditionalFormatting>
  <conditionalFormatting sqref="N29">
    <cfRule type="containsText" dxfId="1249" priority="1902" operator="containsText" text="BAJO">
      <formula>NOT(ISERROR(SEARCH("BAJO",N29)))</formula>
    </cfRule>
    <cfRule type="containsText" dxfId="1248" priority="1903" operator="containsText" text="MODERADO">
      <formula>NOT(ISERROR(SEARCH("MODERADO",N29)))</formula>
    </cfRule>
    <cfRule type="containsText" dxfId="1247" priority="1904" operator="containsText" text="SANO">
      <formula>NOT(ISERROR(SEARCH("SANO",N29)))</formula>
    </cfRule>
    <cfRule type="containsText" dxfId="1246" priority="1905" operator="containsText" text="ALTO">
      <formula>NOT(ISERROR(SEARCH("ALTO",N29)))</formula>
    </cfRule>
    <cfRule type="colorScale" priority="190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45" priority="1907" operator="containsText" text="ALTO">
      <formula>NOT(ISERROR(SEARCH("ALTO",N29)))</formula>
    </cfRule>
  </conditionalFormatting>
  <conditionalFormatting sqref="N30">
    <cfRule type="containsText" dxfId="1244" priority="1883" operator="containsText" text="MODERADO">
      <formula>NOT(ISERROR(SEARCH("MODERADO",N30)))</formula>
    </cfRule>
    <cfRule type="containsText" dxfId="1243" priority="1884" operator="containsText" text="SANO">
      <formula>NOT(ISERROR(SEARCH("SANO",N30)))</formula>
    </cfRule>
    <cfRule type="containsText" dxfId="1242" priority="1885" operator="containsText" text="ALTO">
      <formula>NOT(ISERROR(SEARCH("ALTO",N30)))</formula>
    </cfRule>
    <cfRule type="containsText" dxfId="1241" priority="1886" operator="containsText" text="BAJO">
      <formula>NOT(ISERROR(SEARCH("BAJO",N30)))</formula>
    </cfRule>
    <cfRule type="containsText" dxfId="1240" priority="1887" operator="containsText" text="FALTA">
      <formula>NOT(ISERROR(SEARCH("FALTA",N30)))</formula>
    </cfRule>
  </conditionalFormatting>
  <conditionalFormatting sqref="N30">
    <cfRule type="containsText" dxfId="1239" priority="1882" operator="containsText" text="N/A">
      <formula>NOT(ISERROR(SEARCH("N/A",N30)))</formula>
    </cfRule>
  </conditionalFormatting>
  <conditionalFormatting sqref="N30">
    <cfRule type="containsText" dxfId="1238" priority="1881" operator="containsText" text="MEDIO">
      <formula>NOT(ISERROR(SEARCH("MEDIO",N30)))</formula>
    </cfRule>
  </conditionalFormatting>
  <conditionalFormatting sqref="N30">
    <cfRule type="containsText" dxfId="1237" priority="1888" operator="containsText" text="BAJO">
      <formula>NOT(ISERROR(SEARCH("BAJO",N30)))</formula>
    </cfRule>
    <cfRule type="containsText" dxfId="1236" priority="1889" operator="containsText" text="MODERADO">
      <formula>NOT(ISERROR(SEARCH("MODERADO",N30)))</formula>
    </cfRule>
    <cfRule type="containsText" dxfId="1235" priority="1890" operator="containsText" text="SANO">
      <formula>NOT(ISERROR(SEARCH("SANO",N30)))</formula>
    </cfRule>
    <cfRule type="containsText" dxfId="1234" priority="1891" operator="containsText" text="ALTO">
      <formula>NOT(ISERROR(SEARCH("ALTO",N30)))</formula>
    </cfRule>
    <cfRule type="colorScale" priority="189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33" priority="1893" operator="containsText" text="ALTO">
      <formula>NOT(ISERROR(SEARCH("ALTO",N30)))</formula>
    </cfRule>
  </conditionalFormatting>
  <conditionalFormatting sqref="N30">
    <cfRule type="containsText" dxfId="1232" priority="1880" operator="containsText" text="R. MODERADO">
      <formula>NOT(ISERROR(SEARCH("R. MODERADO",N30)))</formula>
    </cfRule>
  </conditionalFormatting>
  <conditionalFormatting sqref="L36">
    <cfRule type="containsText" dxfId="1231" priority="1869" operator="containsText" text="MODERADO">
      <formula>NOT(ISERROR(SEARCH("MODERADO",L36)))</formula>
    </cfRule>
    <cfRule type="containsText" dxfId="1230" priority="1870" operator="containsText" text="SANO">
      <formula>NOT(ISERROR(SEARCH("SANO",L36)))</formula>
    </cfRule>
    <cfRule type="containsText" dxfId="1229" priority="1871" operator="containsText" text="ALTO">
      <formula>NOT(ISERROR(SEARCH("ALTO",L36)))</formula>
    </cfRule>
    <cfRule type="containsText" dxfId="1228" priority="1872" operator="containsText" text="BAJO">
      <formula>NOT(ISERROR(SEARCH("BAJO",L36)))</formula>
    </cfRule>
    <cfRule type="containsText" dxfId="1227" priority="1873" operator="containsText" text="FALTA">
      <formula>NOT(ISERROR(SEARCH("FALTA",L36)))</formula>
    </cfRule>
  </conditionalFormatting>
  <conditionalFormatting sqref="L36">
    <cfRule type="containsText" dxfId="1226" priority="1868" operator="containsText" text="N/A">
      <formula>NOT(ISERROR(SEARCH("N/A",L36)))</formula>
    </cfRule>
  </conditionalFormatting>
  <conditionalFormatting sqref="L36">
    <cfRule type="containsText" dxfId="1225" priority="1867" operator="containsText" text="MEDIO">
      <formula>NOT(ISERROR(SEARCH("MEDIO",L36)))</formula>
    </cfRule>
  </conditionalFormatting>
  <conditionalFormatting sqref="L36">
    <cfRule type="containsText" dxfId="1224" priority="1874" operator="containsText" text="BAJO">
      <formula>NOT(ISERROR(SEARCH("BAJO",L36)))</formula>
    </cfRule>
    <cfRule type="containsText" dxfId="1223" priority="1875" operator="containsText" text="MODERADO">
      <formula>NOT(ISERROR(SEARCH("MODERADO",L36)))</formula>
    </cfRule>
    <cfRule type="containsText" dxfId="1222" priority="1876" operator="containsText" text="SANO">
      <formula>NOT(ISERROR(SEARCH("SANO",L36)))</formula>
    </cfRule>
    <cfRule type="containsText" dxfId="1221" priority="1877" operator="containsText" text="ALTO">
      <formula>NOT(ISERROR(SEARCH("ALTO",L36)))</formula>
    </cfRule>
    <cfRule type="colorScale" priority="187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20" priority="1879" operator="containsText" text="ALTO">
      <formula>NOT(ISERROR(SEARCH("ALTO",L36)))</formula>
    </cfRule>
  </conditionalFormatting>
  <conditionalFormatting sqref="L36">
    <cfRule type="containsText" dxfId="1219" priority="1866" operator="containsText" text="R. MODERADO">
      <formula>NOT(ISERROR(SEARCH("R. MODERADO",L36)))</formula>
    </cfRule>
  </conditionalFormatting>
  <conditionalFormatting sqref="N32">
    <cfRule type="containsText" dxfId="1218" priority="1855" operator="containsText" text="MODERADO">
      <formula>NOT(ISERROR(SEARCH("MODERADO",N32)))</formula>
    </cfRule>
    <cfRule type="containsText" dxfId="1217" priority="1856" operator="containsText" text="SANO">
      <formula>NOT(ISERROR(SEARCH("SANO",N32)))</formula>
    </cfRule>
    <cfRule type="containsText" dxfId="1216" priority="1857" operator="containsText" text="ALTO">
      <formula>NOT(ISERROR(SEARCH("ALTO",N32)))</formula>
    </cfRule>
    <cfRule type="containsText" dxfId="1215" priority="1858" operator="containsText" text="BAJO">
      <formula>NOT(ISERROR(SEARCH("BAJO",N32)))</formula>
    </cfRule>
    <cfRule type="containsText" dxfId="1214" priority="1859" operator="containsText" text="FALTA">
      <formula>NOT(ISERROR(SEARCH("FALTA",N32)))</formula>
    </cfRule>
  </conditionalFormatting>
  <conditionalFormatting sqref="N32">
    <cfRule type="containsText" dxfId="1213" priority="1854" operator="containsText" text="N/A">
      <formula>NOT(ISERROR(SEARCH("N/A",N32)))</formula>
    </cfRule>
  </conditionalFormatting>
  <conditionalFormatting sqref="N32">
    <cfRule type="containsText" dxfId="1212" priority="1853" operator="containsText" text="MEDIO">
      <formula>NOT(ISERROR(SEARCH("MEDIO",N32)))</formula>
    </cfRule>
  </conditionalFormatting>
  <conditionalFormatting sqref="N32">
    <cfRule type="containsText" dxfId="1211" priority="1860" operator="containsText" text="BAJO">
      <formula>NOT(ISERROR(SEARCH("BAJO",N32)))</formula>
    </cfRule>
    <cfRule type="containsText" dxfId="1210" priority="1861" operator="containsText" text="MODERADO">
      <formula>NOT(ISERROR(SEARCH("MODERADO",N32)))</formula>
    </cfRule>
    <cfRule type="containsText" dxfId="1209" priority="1862" operator="containsText" text="SANO">
      <formula>NOT(ISERROR(SEARCH("SANO",N32)))</formula>
    </cfRule>
    <cfRule type="containsText" dxfId="1208" priority="1863" operator="containsText" text="ALTO">
      <formula>NOT(ISERROR(SEARCH("ALTO",N32)))</formula>
    </cfRule>
    <cfRule type="colorScale" priority="186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07" priority="1865" operator="containsText" text="ALTO">
      <formula>NOT(ISERROR(SEARCH("ALTO",N32)))</formula>
    </cfRule>
  </conditionalFormatting>
  <conditionalFormatting sqref="N32">
    <cfRule type="containsText" dxfId="1206" priority="1852" operator="containsText" text="R. MODERADO">
      <formula>NOT(ISERROR(SEARCH("R. MODERADO",N32)))</formula>
    </cfRule>
  </conditionalFormatting>
  <conditionalFormatting sqref="N36">
    <cfRule type="containsText" dxfId="1205" priority="1827" operator="containsText" text="MODERADO">
      <formula>NOT(ISERROR(SEARCH("MODERADO",N36)))</formula>
    </cfRule>
    <cfRule type="containsText" dxfId="1204" priority="1828" operator="containsText" text="SANO">
      <formula>NOT(ISERROR(SEARCH("SANO",N36)))</formula>
    </cfRule>
    <cfRule type="containsText" dxfId="1203" priority="1829" operator="containsText" text="ALTO">
      <formula>NOT(ISERROR(SEARCH("ALTO",N36)))</formula>
    </cfRule>
    <cfRule type="containsText" dxfId="1202" priority="1830" operator="containsText" text="BAJO">
      <formula>NOT(ISERROR(SEARCH("BAJO",N36)))</formula>
    </cfRule>
    <cfRule type="containsText" dxfId="1201" priority="1831" operator="containsText" text="FALTA">
      <formula>NOT(ISERROR(SEARCH("FALTA",N36)))</formula>
    </cfRule>
  </conditionalFormatting>
  <conditionalFormatting sqref="N36">
    <cfRule type="containsText" dxfId="1200" priority="1826" operator="containsText" text="N/A">
      <formula>NOT(ISERROR(SEARCH("N/A",N36)))</formula>
    </cfRule>
  </conditionalFormatting>
  <conditionalFormatting sqref="N36">
    <cfRule type="containsText" dxfId="1199" priority="1825" operator="containsText" text="MEDIO">
      <formula>NOT(ISERROR(SEARCH("MEDIO",N36)))</formula>
    </cfRule>
  </conditionalFormatting>
  <conditionalFormatting sqref="N36">
    <cfRule type="containsText" dxfId="1198" priority="1832" operator="containsText" text="BAJO">
      <formula>NOT(ISERROR(SEARCH("BAJO",N36)))</formula>
    </cfRule>
    <cfRule type="containsText" dxfId="1197" priority="1833" operator="containsText" text="MODERADO">
      <formula>NOT(ISERROR(SEARCH("MODERADO",N36)))</formula>
    </cfRule>
    <cfRule type="containsText" dxfId="1196" priority="1834" operator="containsText" text="SANO">
      <formula>NOT(ISERROR(SEARCH("SANO",N36)))</formula>
    </cfRule>
    <cfRule type="containsText" dxfId="1195" priority="1835" operator="containsText" text="ALTO">
      <formula>NOT(ISERROR(SEARCH("ALTO",N36)))</formula>
    </cfRule>
    <cfRule type="colorScale" priority="183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94" priority="1837" operator="containsText" text="ALTO">
      <formula>NOT(ISERROR(SEARCH("ALTO",N36)))</formula>
    </cfRule>
  </conditionalFormatting>
  <conditionalFormatting sqref="N36">
    <cfRule type="containsText" dxfId="1193" priority="1824" operator="containsText" text="R. MODERADO">
      <formula>NOT(ISERROR(SEARCH("R. MODERADO",N36)))</formula>
    </cfRule>
  </conditionalFormatting>
  <conditionalFormatting sqref="N31">
    <cfRule type="containsText" dxfId="1192" priority="1813" operator="containsText" text="MODERADO">
      <formula>NOT(ISERROR(SEARCH("MODERADO",N31)))</formula>
    </cfRule>
    <cfRule type="containsText" dxfId="1191" priority="1814" operator="containsText" text="SANO">
      <formula>NOT(ISERROR(SEARCH("SANO",N31)))</formula>
    </cfRule>
    <cfRule type="containsText" dxfId="1190" priority="1815" operator="containsText" text="ALTO">
      <formula>NOT(ISERROR(SEARCH("ALTO",N31)))</formula>
    </cfRule>
    <cfRule type="containsText" dxfId="1189" priority="1816" operator="containsText" text="BAJO">
      <formula>NOT(ISERROR(SEARCH("BAJO",N31)))</formula>
    </cfRule>
    <cfRule type="containsText" dxfId="1188" priority="1817" operator="containsText" text="FALTA">
      <formula>NOT(ISERROR(SEARCH("FALTA",N31)))</formula>
    </cfRule>
  </conditionalFormatting>
  <conditionalFormatting sqref="N31">
    <cfRule type="containsText" dxfId="1187" priority="1812" operator="containsText" text="N/A">
      <formula>NOT(ISERROR(SEARCH("N/A",N31)))</formula>
    </cfRule>
  </conditionalFormatting>
  <conditionalFormatting sqref="N31">
    <cfRule type="containsText" dxfId="1186" priority="1811" operator="containsText" text="MEDIO">
      <formula>NOT(ISERROR(SEARCH("MEDIO",N31)))</formula>
    </cfRule>
  </conditionalFormatting>
  <conditionalFormatting sqref="N31">
    <cfRule type="containsText" dxfId="1185" priority="1810" operator="containsText" text="R. MODERADO">
      <formula>NOT(ISERROR(SEARCH("R. MODERADO",N31)))</formula>
    </cfRule>
  </conditionalFormatting>
  <conditionalFormatting sqref="N31">
    <cfRule type="containsText" dxfId="1184" priority="1818" operator="containsText" text="BAJO">
      <formula>NOT(ISERROR(SEARCH("BAJO",N31)))</formula>
    </cfRule>
    <cfRule type="containsText" dxfId="1183" priority="1819" operator="containsText" text="MODERADO">
      <formula>NOT(ISERROR(SEARCH("MODERADO",N31)))</formula>
    </cfRule>
    <cfRule type="containsText" dxfId="1182" priority="1820" operator="containsText" text="SANO">
      <formula>NOT(ISERROR(SEARCH("SANO",N31)))</formula>
    </cfRule>
    <cfRule type="containsText" dxfId="1181" priority="1821" operator="containsText" text="ALTO">
      <formula>NOT(ISERROR(SEARCH("ALTO",N31)))</formula>
    </cfRule>
    <cfRule type="colorScale" priority="182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80" priority="1823" operator="containsText" text="ALTO">
      <formula>NOT(ISERROR(SEARCH("ALTO",N31)))</formula>
    </cfRule>
  </conditionalFormatting>
  <conditionalFormatting sqref="N33">
    <cfRule type="containsText" dxfId="1179" priority="1799" operator="containsText" text="MODERADO">
      <formula>NOT(ISERROR(SEARCH("MODERADO",N33)))</formula>
    </cfRule>
    <cfRule type="containsText" dxfId="1178" priority="1800" operator="containsText" text="SANO">
      <formula>NOT(ISERROR(SEARCH("SANO",N33)))</formula>
    </cfRule>
    <cfRule type="containsText" dxfId="1177" priority="1801" operator="containsText" text="ALTO">
      <formula>NOT(ISERROR(SEARCH("ALTO",N33)))</formula>
    </cfRule>
    <cfRule type="containsText" dxfId="1176" priority="1802" operator="containsText" text="BAJO">
      <formula>NOT(ISERROR(SEARCH("BAJO",N33)))</formula>
    </cfRule>
    <cfRule type="containsText" dxfId="1175" priority="1803" operator="containsText" text="FALTA">
      <formula>NOT(ISERROR(SEARCH("FALTA",N33)))</formula>
    </cfRule>
  </conditionalFormatting>
  <conditionalFormatting sqref="N33">
    <cfRule type="containsText" dxfId="1174" priority="1798" operator="containsText" text="N/A">
      <formula>NOT(ISERROR(SEARCH("N/A",N33)))</formula>
    </cfRule>
  </conditionalFormatting>
  <conditionalFormatting sqref="N33">
    <cfRule type="containsText" dxfId="1173" priority="1797" operator="containsText" text="MEDIO">
      <formula>NOT(ISERROR(SEARCH("MEDIO",N33)))</formula>
    </cfRule>
  </conditionalFormatting>
  <conditionalFormatting sqref="N33">
    <cfRule type="containsText" dxfId="1172" priority="1796" operator="containsText" text="R. MODERADO">
      <formula>NOT(ISERROR(SEARCH("R. MODERADO",N33)))</formula>
    </cfRule>
  </conditionalFormatting>
  <conditionalFormatting sqref="N33">
    <cfRule type="containsText" dxfId="1171" priority="1804" operator="containsText" text="BAJO">
      <formula>NOT(ISERROR(SEARCH("BAJO",N33)))</formula>
    </cfRule>
    <cfRule type="containsText" dxfId="1170" priority="1805" operator="containsText" text="MODERADO">
      <formula>NOT(ISERROR(SEARCH("MODERADO",N33)))</formula>
    </cfRule>
    <cfRule type="containsText" dxfId="1169" priority="1806" operator="containsText" text="SANO">
      <formula>NOT(ISERROR(SEARCH("SANO",N33)))</formula>
    </cfRule>
    <cfRule type="containsText" dxfId="1168" priority="1807" operator="containsText" text="ALTO">
      <formula>NOT(ISERROR(SEARCH("ALTO",N33)))</formula>
    </cfRule>
    <cfRule type="colorScale" priority="180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67" priority="1809" operator="containsText" text="ALTO">
      <formula>NOT(ISERROR(SEARCH("ALTO",N33)))</formula>
    </cfRule>
  </conditionalFormatting>
  <conditionalFormatting sqref="N34">
    <cfRule type="containsText" dxfId="1166" priority="1785" operator="containsText" text="MODERADO">
      <formula>NOT(ISERROR(SEARCH("MODERADO",N34)))</formula>
    </cfRule>
    <cfRule type="containsText" dxfId="1165" priority="1786" operator="containsText" text="SANO">
      <formula>NOT(ISERROR(SEARCH("SANO",N34)))</formula>
    </cfRule>
    <cfRule type="containsText" dxfId="1164" priority="1787" operator="containsText" text="ALTO">
      <formula>NOT(ISERROR(SEARCH("ALTO",N34)))</formula>
    </cfRule>
    <cfRule type="containsText" dxfId="1163" priority="1788" operator="containsText" text="BAJO">
      <formula>NOT(ISERROR(SEARCH("BAJO",N34)))</formula>
    </cfRule>
    <cfRule type="containsText" dxfId="1162" priority="1789" operator="containsText" text="FALTA">
      <formula>NOT(ISERROR(SEARCH("FALTA",N34)))</formula>
    </cfRule>
  </conditionalFormatting>
  <conditionalFormatting sqref="N34">
    <cfRule type="containsText" dxfId="1161" priority="1784" operator="containsText" text="N/A">
      <formula>NOT(ISERROR(SEARCH("N/A",N34)))</formula>
    </cfRule>
  </conditionalFormatting>
  <conditionalFormatting sqref="N34">
    <cfRule type="containsText" dxfId="1160" priority="1783" operator="containsText" text="MEDIO">
      <formula>NOT(ISERROR(SEARCH("MEDIO",N34)))</formula>
    </cfRule>
  </conditionalFormatting>
  <conditionalFormatting sqref="N34">
    <cfRule type="containsText" dxfId="1159" priority="1782" operator="containsText" text="R. MODERADO">
      <formula>NOT(ISERROR(SEARCH("R. MODERADO",N34)))</formula>
    </cfRule>
  </conditionalFormatting>
  <conditionalFormatting sqref="N34">
    <cfRule type="containsText" dxfId="1158" priority="1790" operator="containsText" text="BAJO">
      <formula>NOT(ISERROR(SEARCH("BAJO",N34)))</formula>
    </cfRule>
    <cfRule type="containsText" dxfId="1157" priority="1791" operator="containsText" text="MODERADO">
      <formula>NOT(ISERROR(SEARCH("MODERADO",N34)))</formula>
    </cfRule>
    <cfRule type="containsText" dxfId="1156" priority="1792" operator="containsText" text="SANO">
      <formula>NOT(ISERROR(SEARCH("SANO",N34)))</formula>
    </cfRule>
    <cfRule type="containsText" dxfId="1155" priority="1793" operator="containsText" text="ALTO">
      <formula>NOT(ISERROR(SEARCH("ALTO",N34)))</formula>
    </cfRule>
    <cfRule type="colorScale" priority="179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54" priority="1795" operator="containsText" text="ALTO">
      <formula>NOT(ISERROR(SEARCH("ALTO",N34)))</formula>
    </cfRule>
  </conditionalFormatting>
  <conditionalFormatting sqref="N37">
    <cfRule type="containsText" dxfId="1153" priority="1771" operator="containsText" text="MODERADO">
      <formula>NOT(ISERROR(SEARCH("MODERADO",N37)))</formula>
    </cfRule>
    <cfRule type="containsText" dxfId="1152" priority="1772" operator="containsText" text="SANO">
      <formula>NOT(ISERROR(SEARCH("SANO",N37)))</formula>
    </cfRule>
    <cfRule type="containsText" dxfId="1151" priority="1773" operator="containsText" text="ALTO">
      <formula>NOT(ISERROR(SEARCH("ALTO",N37)))</formula>
    </cfRule>
    <cfRule type="containsText" dxfId="1150" priority="1774" operator="containsText" text="BAJO">
      <formula>NOT(ISERROR(SEARCH("BAJO",N37)))</formula>
    </cfRule>
    <cfRule type="containsText" dxfId="1149" priority="1775" operator="containsText" text="FALTA">
      <formula>NOT(ISERROR(SEARCH("FALTA",N37)))</formula>
    </cfRule>
  </conditionalFormatting>
  <conditionalFormatting sqref="N37">
    <cfRule type="containsText" dxfId="1148" priority="1770" operator="containsText" text="N/A">
      <formula>NOT(ISERROR(SEARCH("N/A",N37)))</formula>
    </cfRule>
  </conditionalFormatting>
  <conditionalFormatting sqref="N37">
    <cfRule type="containsText" dxfId="1147" priority="1769" operator="containsText" text="MEDIO">
      <formula>NOT(ISERROR(SEARCH("MEDIO",N37)))</formula>
    </cfRule>
  </conditionalFormatting>
  <conditionalFormatting sqref="N37">
    <cfRule type="containsText" dxfId="1146" priority="1768" operator="containsText" text="R. MODERADO">
      <formula>NOT(ISERROR(SEARCH("R. MODERADO",N37)))</formula>
    </cfRule>
  </conditionalFormatting>
  <conditionalFormatting sqref="N37">
    <cfRule type="containsText" dxfId="1145" priority="1776" operator="containsText" text="BAJO">
      <formula>NOT(ISERROR(SEARCH("BAJO",N37)))</formula>
    </cfRule>
    <cfRule type="containsText" dxfId="1144" priority="1777" operator="containsText" text="MODERADO">
      <formula>NOT(ISERROR(SEARCH("MODERADO",N37)))</formula>
    </cfRule>
    <cfRule type="containsText" dxfId="1143" priority="1778" operator="containsText" text="SANO">
      <formula>NOT(ISERROR(SEARCH("SANO",N37)))</formula>
    </cfRule>
    <cfRule type="containsText" dxfId="1142" priority="1779" operator="containsText" text="ALTO">
      <formula>NOT(ISERROR(SEARCH("ALTO",N37)))</formula>
    </cfRule>
    <cfRule type="colorScale" priority="178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41" priority="1781" operator="containsText" text="ALTO">
      <formula>NOT(ISERROR(SEARCH("ALTO",N37)))</formula>
    </cfRule>
  </conditionalFormatting>
  <conditionalFormatting sqref="N35">
    <cfRule type="containsText" dxfId="1140" priority="1757" operator="containsText" text="MODERADO">
      <formula>NOT(ISERROR(SEARCH("MODERADO",N35)))</formula>
    </cfRule>
    <cfRule type="containsText" dxfId="1139" priority="1758" operator="containsText" text="SANO">
      <formula>NOT(ISERROR(SEARCH("SANO",N35)))</formula>
    </cfRule>
    <cfRule type="containsText" dxfId="1138" priority="1759" operator="containsText" text="ALTO">
      <formula>NOT(ISERROR(SEARCH("ALTO",N35)))</formula>
    </cfRule>
    <cfRule type="containsText" dxfId="1137" priority="1760" operator="containsText" text="BAJO">
      <formula>NOT(ISERROR(SEARCH("BAJO",N35)))</formula>
    </cfRule>
    <cfRule type="containsText" dxfId="1136" priority="1761" operator="containsText" text="FALTA">
      <formula>NOT(ISERROR(SEARCH("FALTA",N35)))</formula>
    </cfRule>
  </conditionalFormatting>
  <conditionalFormatting sqref="N35">
    <cfRule type="containsText" dxfId="1135" priority="1756" operator="containsText" text="N/A">
      <formula>NOT(ISERROR(SEARCH("N/A",N35)))</formula>
    </cfRule>
  </conditionalFormatting>
  <conditionalFormatting sqref="N35">
    <cfRule type="containsText" dxfId="1134" priority="1755" operator="containsText" text="MEDIO">
      <formula>NOT(ISERROR(SEARCH("MEDIO",N35)))</formula>
    </cfRule>
  </conditionalFormatting>
  <conditionalFormatting sqref="N35">
    <cfRule type="containsText" dxfId="1133" priority="1762" operator="containsText" text="BAJO">
      <formula>NOT(ISERROR(SEARCH("BAJO",N35)))</formula>
    </cfRule>
    <cfRule type="containsText" dxfId="1132" priority="1763" operator="containsText" text="MODERADO">
      <formula>NOT(ISERROR(SEARCH("MODERADO",N35)))</formula>
    </cfRule>
    <cfRule type="containsText" dxfId="1131" priority="1764" operator="containsText" text="SANO">
      <formula>NOT(ISERROR(SEARCH("SANO",N35)))</formula>
    </cfRule>
    <cfRule type="containsText" dxfId="1130" priority="1765" operator="containsText" text="ALTO">
      <formula>NOT(ISERROR(SEARCH("ALTO",N35)))</formula>
    </cfRule>
    <cfRule type="colorScale" priority="176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29" priority="1767" operator="containsText" text="ALTO">
      <formula>NOT(ISERROR(SEARCH("ALTO",N35)))</formula>
    </cfRule>
  </conditionalFormatting>
  <conditionalFormatting sqref="N35">
    <cfRule type="containsText" dxfId="1128" priority="1754" operator="containsText" text="R. MODERADO">
      <formula>NOT(ISERROR(SEARCH("R. MODERADO",N35)))</formula>
    </cfRule>
  </conditionalFormatting>
  <conditionalFormatting sqref="N41:N43">
    <cfRule type="containsText" dxfId="1127" priority="1743" operator="containsText" text="MODERADO">
      <formula>NOT(ISERROR(SEARCH("MODERADO",N41)))</formula>
    </cfRule>
    <cfRule type="containsText" dxfId="1126" priority="1744" operator="containsText" text="SANO">
      <formula>NOT(ISERROR(SEARCH("SANO",N41)))</formula>
    </cfRule>
    <cfRule type="containsText" dxfId="1125" priority="1745" operator="containsText" text="ALTO">
      <formula>NOT(ISERROR(SEARCH("ALTO",N41)))</formula>
    </cfRule>
    <cfRule type="containsText" dxfId="1124" priority="1746" operator="containsText" text="BAJO">
      <formula>NOT(ISERROR(SEARCH("BAJO",N41)))</formula>
    </cfRule>
    <cfRule type="containsText" dxfId="1123" priority="1747" operator="containsText" text="FALTA">
      <formula>NOT(ISERROR(SEARCH("FALTA",N41)))</formula>
    </cfRule>
  </conditionalFormatting>
  <conditionalFormatting sqref="N41:N43">
    <cfRule type="containsText" dxfId="1122" priority="1742" operator="containsText" text="N/A">
      <formula>NOT(ISERROR(SEARCH("N/A",N41)))</formula>
    </cfRule>
  </conditionalFormatting>
  <conditionalFormatting sqref="N41:N43">
    <cfRule type="containsText" dxfId="1121" priority="1741" operator="containsText" text="MEDIO">
      <formula>NOT(ISERROR(SEARCH("MEDIO",N41)))</formula>
    </cfRule>
  </conditionalFormatting>
  <conditionalFormatting sqref="N41:N43">
    <cfRule type="containsText" dxfId="1120" priority="1740" operator="containsText" text="R. MODERADO">
      <formula>NOT(ISERROR(SEARCH("R. MODERADO",N41)))</formula>
    </cfRule>
  </conditionalFormatting>
  <conditionalFormatting sqref="N41:N43">
    <cfRule type="containsText" dxfId="1119" priority="1748" operator="containsText" text="BAJO">
      <formula>NOT(ISERROR(SEARCH("BAJO",N41)))</formula>
    </cfRule>
    <cfRule type="containsText" dxfId="1118" priority="1749" operator="containsText" text="MODERADO">
      <formula>NOT(ISERROR(SEARCH("MODERADO",N41)))</formula>
    </cfRule>
    <cfRule type="containsText" dxfId="1117" priority="1750" operator="containsText" text="SANO">
      <formula>NOT(ISERROR(SEARCH("SANO",N41)))</formula>
    </cfRule>
    <cfRule type="containsText" dxfId="1116" priority="1751" operator="containsText" text="ALTO">
      <formula>NOT(ISERROR(SEARCH("ALTO",N41)))</formula>
    </cfRule>
    <cfRule type="colorScale" priority="175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15" priority="1753" operator="containsText" text="ALTO">
      <formula>NOT(ISERROR(SEARCH("ALTO",N41)))</formula>
    </cfRule>
  </conditionalFormatting>
  <conditionalFormatting sqref="N38">
    <cfRule type="containsText" dxfId="1114" priority="1729" operator="containsText" text="MODERADO">
      <formula>NOT(ISERROR(SEARCH("MODERADO",N38)))</formula>
    </cfRule>
    <cfRule type="containsText" dxfId="1113" priority="1730" operator="containsText" text="SANO">
      <formula>NOT(ISERROR(SEARCH("SANO",N38)))</formula>
    </cfRule>
    <cfRule type="containsText" dxfId="1112" priority="1731" operator="containsText" text="ALTO">
      <formula>NOT(ISERROR(SEARCH("ALTO",N38)))</formula>
    </cfRule>
    <cfRule type="containsText" dxfId="1111" priority="1732" operator="containsText" text="BAJO">
      <formula>NOT(ISERROR(SEARCH("BAJO",N38)))</formula>
    </cfRule>
    <cfRule type="containsText" dxfId="1110" priority="1733" operator="containsText" text="FALTA">
      <formula>NOT(ISERROR(SEARCH("FALTA",N38)))</formula>
    </cfRule>
  </conditionalFormatting>
  <conditionalFormatting sqref="N38">
    <cfRule type="containsText" dxfId="1109" priority="1728" operator="containsText" text="N/A">
      <formula>NOT(ISERROR(SEARCH("N/A",N38)))</formula>
    </cfRule>
  </conditionalFormatting>
  <conditionalFormatting sqref="N38">
    <cfRule type="containsText" dxfId="1108" priority="1727" operator="containsText" text="MEDIO">
      <formula>NOT(ISERROR(SEARCH("MEDIO",N38)))</formula>
    </cfRule>
  </conditionalFormatting>
  <conditionalFormatting sqref="N38">
    <cfRule type="containsText" dxfId="1107" priority="1726" operator="containsText" text="R. MODERADO">
      <formula>NOT(ISERROR(SEARCH("R. MODERADO",N38)))</formula>
    </cfRule>
  </conditionalFormatting>
  <conditionalFormatting sqref="N38">
    <cfRule type="containsText" dxfId="1106" priority="1734" operator="containsText" text="BAJO">
      <formula>NOT(ISERROR(SEARCH("BAJO",N38)))</formula>
    </cfRule>
    <cfRule type="containsText" dxfId="1105" priority="1735" operator="containsText" text="MODERADO">
      <formula>NOT(ISERROR(SEARCH("MODERADO",N38)))</formula>
    </cfRule>
    <cfRule type="containsText" dxfId="1104" priority="1736" operator="containsText" text="SANO">
      <formula>NOT(ISERROR(SEARCH("SANO",N38)))</formula>
    </cfRule>
    <cfRule type="containsText" dxfId="1103" priority="1737" operator="containsText" text="ALTO">
      <formula>NOT(ISERROR(SEARCH("ALTO",N38)))</formula>
    </cfRule>
    <cfRule type="colorScale" priority="173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02" priority="1739" operator="containsText" text="ALTO">
      <formula>NOT(ISERROR(SEARCH("ALTO",N38)))</formula>
    </cfRule>
  </conditionalFormatting>
  <conditionalFormatting sqref="N40">
    <cfRule type="containsText" dxfId="1101" priority="1701" operator="containsText" text="MODERADO">
      <formula>NOT(ISERROR(SEARCH("MODERADO",N40)))</formula>
    </cfRule>
    <cfRule type="containsText" dxfId="1100" priority="1702" operator="containsText" text="SANO">
      <formula>NOT(ISERROR(SEARCH("SANO",N40)))</formula>
    </cfRule>
    <cfRule type="containsText" dxfId="1099" priority="1703" operator="containsText" text="ALTO">
      <formula>NOT(ISERROR(SEARCH("ALTO",N40)))</formula>
    </cfRule>
    <cfRule type="containsText" dxfId="1098" priority="1704" operator="containsText" text="BAJO">
      <formula>NOT(ISERROR(SEARCH("BAJO",N40)))</formula>
    </cfRule>
    <cfRule type="containsText" dxfId="1097" priority="1705" operator="containsText" text="FALTA">
      <formula>NOT(ISERROR(SEARCH("FALTA",N40)))</formula>
    </cfRule>
  </conditionalFormatting>
  <conditionalFormatting sqref="N40">
    <cfRule type="containsText" dxfId="1096" priority="1700" operator="containsText" text="N/A">
      <formula>NOT(ISERROR(SEARCH("N/A",N40)))</formula>
    </cfRule>
  </conditionalFormatting>
  <conditionalFormatting sqref="N40">
    <cfRule type="containsText" dxfId="1095" priority="1699" operator="containsText" text="MEDIO">
      <formula>NOT(ISERROR(SEARCH("MEDIO",N40)))</formula>
    </cfRule>
  </conditionalFormatting>
  <conditionalFormatting sqref="N40">
    <cfRule type="containsText" dxfId="1094" priority="1698" operator="containsText" text="R. MODERADO">
      <formula>NOT(ISERROR(SEARCH("R. MODERADO",N40)))</formula>
    </cfRule>
  </conditionalFormatting>
  <conditionalFormatting sqref="N40">
    <cfRule type="containsText" dxfId="1093" priority="1706" operator="containsText" text="BAJO">
      <formula>NOT(ISERROR(SEARCH("BAJO",N40)))</formula>
    </cfRule>
    <cfRule type="containsText" dxfId="1092" priority="1707" operator="containsText" text="MODERADO">
      <formula>NOT(ISERROR(SEARCH("MODERADO",N40)))</formula>
    </cfRule>
    <cfRule type="containsText" dxfId="1091" priority="1708" operator="containsText" text="SANO">
      <formula>NOT(ISERROR(SEARCH("SANO",N40)))</formula>
    </cfRule>
    <cfRule type="containsText" dxfId="1090" priority="1709" operator="containsText" text="ALTO">
      <formula>NOT(ISERROR(SEARCH("ALTO",N40)))</formula>
    </cfRule>
    <cfRule type="colorScale" priority="171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89" priority="1711" operator="containsText" text="ALTO">
      <formula>NOT(ISERROR(SEARCH("ALTO",N40)))</formula>
    </cfRule>
  </conditionalFormatting>
  <conditionalFormatting sqref="N39">
    <cfRule type="containsText" dxfId="1088" priority="1687" operator="containsText" text="MODERADO">
      <formula>NOT(ISERROR(SEARCH("MODERADO",N39)))</formula>
    </cfRule>
    <cfRule type="containsText" dxfId="1087" priority="1688" operator="containsText" text="SANO">
      <formula>NOT(ISERROR(SEARCH("SANO",N39)))</formula>
    </cfRule>
    <cfRule type="containsText" dxfId="1086" priority="1689" operator="containsText" text="ALTO">
      <formula>NOT(ISERROR(SEARCH("ALTO",N39)))</formula>
    </cfRule>
    <cfRule type="containsText" dxfId="1085" priority="1690" operator="containsText" text="BAJO">
      <formula>NOT(ISERROR(SEARCH("BAJO",N39)))</formula>
    </cfRule>
    <cfRule type="containsText" dxfId="1084" priority="1691" operator="containsText" text="FALTA">
      <formula>NOT(ISERROR(SEARCH("FALTA",N39)))</formula>
    </cfRule>
  </conditionalFormatting>
  <conditionalFormatting sqref="N39">
    <cfRule type="containsText" dxfId="1083" priority="1686" operator="containsText" text="N/A">
      <formula>NOT(ISERROR(SEARCH("N/A",N39)))</formula>
    </cfRule>
  </conditionalFormatting>
  <conditionalFormatting sqref="N39">
    <cfRule type="containsText" dxfId="1082" priority="1685" operator="containsText" text="MEDIO">
      <formula>NOT(ISERROR(SEARCH("MEDIO",N39)))</formula>
    </cfRule>
  </conditionalFormatting>
  <conditionalFormatting sqref="N39">
    <cfRule type="containsText" dxfId="1081" priority="1684" operator="containsText" text="R. MODERADO">
      <formula>NOT(ISERROR(SEARCH("R. MODERADO",N39)))</formula>
    </cfRule>
  </conditionalFormatting>
  <conditionalFormatting sqref="N39">
    <cfRule type="containsText" dxfId="1080" priority="1692" operator="containsText" text="BAJO">
      <formula>NOT(ISERROR(SEARCH("BAJO",N39)))</formula>
    </cfRule>
    <cfRule type="containsText" dxfId="1079" priority="1693" operator="containsText" text="MODERADO">
      <formula>NOT(ISERROR(SEARCH("MODERADO",N39)))</formula>
    </cfRule>
    <cfRule type="containsText" dxfId="1078" priority="1694" operator="containsText" text="SANO">
      <formula>NOT(ISERROR(SEARCH("SANO",N39)))</formula>
    </cfRule>
    <cfRule type="containsText" dxfId="1077" priority="1695" operator="containsText" text="ALTO">
      <formula>NOT(ISERROR(SEARCH("ALTO",N39)))</formula>
    </cfRule>
    <cfRule type="colorScale" priority="169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76" priority="1697" operator="containsText" text="ALTO">
      <formula>NOT(ISERROR(SEARCH("ALTO",N39)))</formula>
    </cfRule>
  </conditionalFormatting>
  <conditionalFormatting sqref="N44:N45">
    <cfRule type="containsText" dxfId="1075" priority="1673" operator="containsText" text="MODERADO">
      <formula>NOT(ISERROR(SEARCH("MODERADO",N44)))</formula>
    </cfRule>
    <cfRule type="containsText" dxfId="1074" priority="1674" operator="containsText" text="SANO">
      <formula>NOT(ISERROR(SEARCH("SANO",N44)))</formula>
    </cfRule>
    <cfRule type="containsText" dxfId="1073" priority="1675" operator="containsText" text="ALTO">
      <formula>NOT(ISERROR(SEARCH("ALTO",N44)))</formula>
    </cfRule>
    <cfRule type="containsText" dxfId="1072" priority="1676" operator="containsText" text="BAJO">
      <formula>NOT(ISERROR(SEARCH("BAJO",N44)))</formula>
    </cfRule>
    <cfRule type="containsText" dxfId="1071" priority="1677" operator="containsText" text="FALTA">
      <formula>NOT(ISERROR(SEARCH("FALTA",N44)))</formula>
    </cfRule>
  </conditionalFormatting>
  <conditionalFormatting sqref="N44:N45">
    <cfRule type="containsText" dxfId="1070" priority="1672" operator="containsText" text="N/A">
      <formula>NOT(ISERROR(SEARCH("N/A",N44)))</formula>
    </cfRule>
  </conditionalFormatting>
  <conditionalFormatting sqref="N44:N45">
    <cfRule type="containsText" dxfId="1069" priority="1671" operator="containsText" text="MEDIO">
      <formula>NOT(ISERROR(SEARCH("MEDIO",N44)))</formula>
    </cfRule>
  </conditionalFormatting>
  <conditionalFormatting sqref="N44:N45">
    <cfRule type="containsText" dxfId="1068" priority="1678" operator="containsText" text="BAJO">
      <formula>NOT(ISERROR(SEARCH("BAJO",N44)))</formula>
    </cfRule>
    <cfRule type="containsText" dxfId="1067" priority="1679" operator="containsText" text="MODERADO">
      <formula>NOT(ISERROR(SEARCH("MODERADO",N44)))</formula>
    </cfRule>
    <cfRule type="containsText" dxfId="1066" priority="1680" operator="containsText" text="SANO">
      <formula>NOT(ISERROR(SEARCH("SANO",N44)))</formula>
    </cfRule>
    <cfRule type="containsText" dxfId="1065" priority="1681" operator="containsText" text="ALTO">
      <formula>NOT(ISERROR(SEARCH("ALTO",N44)))</formula>
    </cfRule>
    <cfRule type="colorScale" priority="168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64" priority="1683" operator="containsText" text="ALTO">
      <formula>NOT(ISERROR(SEARCH("ALTO",N44)))</formula>
    </cfRule>
  </conditionalFormatting>
  <conditionalFormatting sqref="N44:N45">
    <cfRule type="containsText" dxfId="1063" priority="1670" operator="containsText" text="R. MODERADO">
      <formula>NOT(ISERROR(SEARCH("R. MODERADO",N44)))</formula>
    </cfRule>
  </conditionalFormatting>
  <conditionalFormatting sqref="N46">
    <cfRule type="containsText" dxfId="1062" priority="1645" operator="containsText" text="MODERADO">
      <formula>NOT(ISERROR(SEARCH("MODERADO",N46)))</formula>
    </cfRule>
    <cfRule type="containsText" dxfId="1061" priority="1646" operator="containsText" text="SANO">
      <formula>NOT(ISERROR(SEARCH("SANO",N46)))</formula>
    </cfRule>
    <cfRule type="containsText" dxfId="1060" priority="1647" operator="containsText" text="ALTO">
      <formula>NOT(ISERROR(SEARCH("ALTO",N46)))</formula>
    </cfRule>
    <cfRule type="containsText" dxfId="1059" priority="1648" operator="containsText" text="BAJO">
      <formula>NOT(ISERROR(SEARCH("BAJO",N46)))</formula>
    </cfRule>
    <cfRule type="containsText" dxfId="1058" priority="1649" operator="containsText" text="FALTA">
      <formula>NOT(ISERROR(SEARCH("FALTA",N46)))</formula>
    </cfRule>
  </conditionalFormatting>
  <conditionalFormatting sqref="N46">
    <cfRule type="containsText" dxfId="1057" priority="1644" operator="containsText" text="N/A">
      <formula>NOT(ISERROR(SEARCH("N/A",N46)))</formula>
    </cfRule>
  </conditionalFormatting>
  <conditionalFormatting sqref="N46">
    <cfRule type="containsText" dxfId="1056" priority="1643" operator="containsText" text="MEDIO">
      <formula>NOT(ISERROR(SEARCH("MEDIO",N46)))</formula>
    </cfRule>
  </conditionalFormatting>
  <conditionalFormatting sqref="N46">
    <cfRule type="containsText" dxfId="1055" priority="1650" operator="containsText" text="BAJO">
      <formula>NOT(ISERROR(SEARCH("BAJO",N46)))</formula>
    </cfRule>
    <cfRule type="containsText" dxfId="1054" priority="1651" operator="containsText" text="MODERADO">
      <formula>NOT(ISERROR(SEARCH("MODERADO",N46)))</formula>
    </cfRule>
    <cfRule type="containsText" dxfId="1053" priority="1652" operator="containsText" text="SANO">
      <formula>NOT(ISERROR(SEARCH("SANO",N46)))</formula>
    </cfRule>
    <cfRule type="containsText" dxfId="1052" priority="1653" operator="containsText" text="ALTO">
      <formula>NOT(ISERROR(SEARCH("ALTO",N46)))</formula>
    </cfRule>
    <cfRule type="colorScale" priority="165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51" priority="1655" operator="containsText" text="ALTO">
      <formula>NOT(ISERROR(SEARCH("ALTO",N46)))</formula>
    </cfRule>
  </conditionalFormatting>
  <conditionalFormatting sqref="N46">
    <cfRule type="containsText" dxfId="1050" priority="1642" operator="containsText" text="R. MODERADO">
      <formula>NOT(ISERROR(SEARCH("R. MODERADO",N46)))</formula>
    </cfRule>
  </conditionalFormatting>
  <conditionalFormatting sqref="N47">
    <cfRule type="containsText" dxfId="1049" priority="1631" operator="containsText" text="MODERADO">
      <formula>NOT(ISERROR(SEARCH("MODERADO",N47)))</formula>
    </cfRule>
    <cfRule type="containsText" dxfId="1048" priority="1632" operator="containsText" text="SANO">
      <formula>NOT(ISERROR(SEARCH("SANO",N47)))</formula>
    </cfRule>
    <cfRule type="containsText" dxfId="1047" priority="1633" operator="containsText" text="ALTO">
      <formula>NOT(ISERROR(SEARCH("ALTO",N47)))</formula>
    </cfRule>
    <cfRule type="containsText" dxfId="1046" priority="1634" operator="containsText" text="BAJO">
      <formula>NOT(ISERROR(SEARCH("BAJO",N47)))</formula>
    </cfRule>
    <cfRule type="containsText" dxfId="1045" priority="1635" operator="containsText" text="FALTA">
      <formula>NOT(ISERROR(SEARCH("FALTA",N47)))</formula>
    </cfRule>
  </conditionalFormatting>
  <conditionalFormatting sqref="N47">
    <cfRule type="containsText" dxfId="1044" priority="1630" operator="containsText" text="N/A">
      <formula>NOT(ISERROR(SEARCH("N/A",N47)))</formula>
    </cfRule>
  </conditionalFormatting>
  <conditionalFormatting sqref="N47">
    <cfRule type="containsText" dxfId="1043" priority="1629" operator="containsText" text="MEDIO">
      <formula>NOT(ISERROR(SEARCH("MEDIO",N47)))</formula>
    </cfRule>
  </conditionalFormatting>
  <conditionalFormatting sqref="N47">
    <cfRule type="containsText" dxfId="1042" priority="1636" operator="containsText" text="BAJO">
      <formula>NOT(ISERROR(SEARCH("BAJO",N47)))</formula>
    </cfRule>
    <cfRule type="containsText" dxfId="1041" priority="1637" operator="containsText" text="MODERADO">
      <formula>NOT(ISERROR(SEARCH("MODERADO",N47)))</formula>
    </cfRule>
    <cfRule type="containsText" dxfId="1040" priority="1638" operator="containsText" text="SANO">
      <formula>NOT(ISERROR(SEARCH("SANO",N47)))</formula>
    </cfRule>
    <cfRule type="containsText" dxfId="1039" priority="1639" operator="containsText" text="ALTO">
      <formula>NOT(ISERROR(SEARCH("ALTO",N47)))</formula>
    </cfRule>
    <cfRule type="colorScale" priority="164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38" priority="1641" operator="containsText" text="ALTO">
      <formula>NOT(ISERROR(SEARCH("ALTO",N47)))</formula>
    </cfRule>
  </conditionalFormatting>
  <conditionalFormatting sqref="N47">
    <cfRule type="containsText" dxfId="1037" priority="1628" operator="containsText" text="R. MODERADO">
      <formula>NOT(ISERROR(SEARCH("R. MODERADO",N47)))</formula>
    </cfRule>
  </conditionalFormatting>
  <conditionalFormatting sqref="N48:N49">
    <cfRule type="containsText" dxfId="1036" priority="1617" operator="containsText" text="MODERADO">
      <formula>NOT(ISERROR(SEARCH("MODERADO",N48)))</formula>
    </cfRule>
    <cfRule type="containsText" dxfId="1035" priority="1618" operator="containsText" text="SANO">
      <formula>NOT(ISERROR(SEARCH("SANO",N48)))</formula>
    </cfRule>
    <cfRule type="containsText" dxfId="1034" priority="1619" operator="containsText" text="ALTO">
      <formula>NOT(ISERROR(SEARCH("ALTO",N48)))</formula>
    </cfRule>
    <cfRule type="containsText" dxfId="1033" priority="1620" operator="containsText" text="BAJO">
      <formula>NOT(ISERROR(SEARCH("BAJO",N48)))</formula>
    </cfRule>
    <cfRule type="containsText" dxfId="1032" priority="1621" operator="containsText" text="FALTA">
      <formula>NOT(ISERROR(SEARCH("FALTA",N48)))</formula>
    </cfRule>
  </conditionalFormatting>
  <conditionalFormatting sqref="N48:N49">
    <cfRule type="containsText" dxfId="1031" priority="1616" operator="containsText" text="N/A">
      <formula>NOT(ISERROR(SEARCH("N/A",N48)))</formula>
    </cfRule>
  </conditionalFormatting>
  <conditionalFormatting sqref="N48:N49">
    <cfRule type="containsText" dxfId="1030" priority="1615" operator="containsText" text="MEDIO">
      <formula>NOT(ISERROR(SEARCH("MEDIO",N48)))</formula>
    </cfRule>
  </conditionalFormatting>
  <conditionalFormatting sqref="N48:N49">
    <cfRule type="containsText" dxfId="1029" priority="1622" operator="containsText" text="BAJO">
      <formula>NOT(ISERROR(SEARCH("BAJO",N48)))</formula>
    </cfRule>
    <cfRule type="containsText" dxfId="1028" priority="1623" operator="containsText" text="MODERADO">
      <formula>NOT(ISERROR(SEARCH("MODERADO",N48)))</formula>
    </cfRule>
    <cfRule type="containsText" dxfId="1027" priority="1624" operator="containsText" text="SANO">
      <formula>NOT(ISERROR(SEARCH("SANO",N48)))</formula>
    </cfRule>
    <cfRule type="containsText" dxfId="1026" priority="1625" operator="containsText" text="ALTO">
      <formula>NOT(ISERROR(SEARCH("ALTO",N48)))</formula>
    </cfRule>
    <cfRule type="colorScale" priority="162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25" priority="1627" operator="containsText" text="ALTO">
      <formula>NOT(ISERROR(SEARCH("ALTO",N48)))</formula>
    </cfRule>
  </conditionalFormatting>
  <conditionalFormatting sqref="N48:N49">
    <cfRule type="containsText" dxfId="1024" priority="1614" operator="containsText" text="R. MODERADO">
      <formula>NOT(ISERROR(SEARCH("R. MODERADO",N48)))</formula>
    </cfRule>
  </conditionalFormatting>
  <conditionalFormatting sqref="N50">
    <cfRule type="containsText" dxfId="1023" priority="1603" operator="containsText" text="MODERADO">
      <formula>NOT(ISERROR(SEARCH("MODERADO",N50)))</formula>
    </cfRule>
    <cfRule type="containsText" dxfId="1022" priority="1604" operator="containsText" text="SANO">
      <formula>NOT(ISERROR(SEARCH("SANO",N50)))</formula>
    </cfRule>
    <cfRule type="containsText" dxfId="1021" priority="1605" operator="containsText" text="ALTO">
      <formula>NOT(ISERROR(SEARCH("ALTO",N50)))</formula>
    </cfRule>
    <cfRule type="containsText" dxfId="1020" priority="1606" operator="containsText" text="BAJO">
      <formula>NOT(ISERROR(SEARCH("BAJO",N50)))</formula>
    </cfRule>
    <cfRule type="containsText" dxfId="1019" priority="1607" operator="containsText" text="FALTA">
      <formula>NOT(ISERROR(SEARCH("FALTA",N50)))</formula>
    </cfRule>
  </conditionalFormatting>
  <conditionalFormatting sqref="N50">
    <cfRule type="containsText" dxfId="1018" priority="1602" operator="containsText" text="N/A">
      <formula>NOT(ISERROR(SEARCH("N/A",N50)))</formula>
    </cfRule>
  </conditionalFormatting>
  <conditionalFormatting sqref="N50">
    <cfRule type="containsText" dxfId="1017" priority="1601" operator="containsText" text="MEDIO">
      <formula>NOT(ISERROR(SEARCH("MEDIO",N50)))</formula>
    </cfRule>
  </conditionalFormatting>
  <conditionalFormatting sqref="N50">
    <cfRule type="containsText" dxfId="1016" priority="1600" operator="containsText" text="R. MODERADO">
      <formula>NOT(ISERROR(SEARCH("R. MODERADO",N50)))</formula>
    </cfRule>
  </conditionalFormatting>
  <conditionalFormatting sqref="N50">
    <cfRule type="containsText" dxfId="1015" priority="1608" operator="containsText" text="BAJO">
      <formula>NOT(ISERROR(SEARCH("BAJO",N50)))</formula>
    </cfRule>
    <cfRule type="containsText" dxfId="1014" priority="1609" operator="containsText" text="MODERADO">
      <formula>NOT(ISERROR(SEARCH("MODERADO",N50)))</formula>
    </cfRule>
    <cfRule type="containsText" dxfId="1013" priority="1610" operator="containsText" text="SANO">
      <formula>NOT(ISERROR(SEARCH("SANO",N50)))</formula>
    </cfRule>
    <cfRule type="containsText" dxfId="1012" priority="1611" operator="containsText" text="ALTO">
      <formula>NOT(ISERROR(SEARCH("ALTO",N50)))</formula>
    </cfRule>
    <cfRule type="colorScale" priority="161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11" priority="1613" operator="containsText" text="ALTO">
      <formula>NOT(ISERROR(SEARCH("ALTO",N50)))</formula>
    </cfRule>
  </conditionalFormatting>
  <conditionalFormatting sqref="N51">
    <cfRule type="containsText" dxfId="1010" priority="1589" operator="containsText" text="MODERADO">
      <formula>NOT(ISERROR(SEARCH("MODERADO",N51)))</formula>
    </cfRule>
    <cfRule type="containsText" dxfId="1009" priority="1590" operator="containsText" text="SANO">
      <formula>NOT(ISERROR(SEARCH("SANO",N51)))</formula>
    </cfRule>
    <cfRule type="containsText" dxfId="1008" priority="1591" operator="containsText" text="ALTO">
      <formula>NOT(ISERROR(SEARCH("ALTO",N51)))</formula>
    </cfRule>
    <cfRule type="containsText" dxfId="1007" priority="1592" operator="containsText" text="BAJO">
      <formula>NOT(ISERROR(SEARCH("BAJO",N51)))</formula>
    </cfRule>
    <cfRule type="containsText" dxfId="1006" priority="1593" operator="containsText" text="FALTA">
      <formula>NOT(ISERROR(SEARCH("FALTA",N51)))</formula>
    </cfRule>
  </conditionalFormatting>
  <conditionalFormatting sqref="N51">
    <cfRule type="containsText" dxfId="1005" priority="1588" operator="containsText" text="N/A">
      <formula>NOT(ISERROR(SEARCH("N/A",N51)))</formula>
    </cfRule>
  </conditionalFormatting>
  <conditionalFormatting sqref="N51">
    <cfRule type="containsText" dxfId="1004" priority="1587" operator="containsText" text="MEDIO">
      <formula>NOT(ISERROR(SEARCH("MEDIO",N51)))</formula>
    </cfRule>
  </conditionalFormatting>
  <conditionalFormatting sqref="N51">
    <cfRule type="containsText" dxfId="1003" priority="1594" operator="containsText" text="BAJO">
      <formula>NOT(ISERROR(SEARCH("BAJO",N51)))</formula>
    </cfRule>
    <cfRule type="containsText" dxfId="1002" priority="1595" operator="containsText" text="MODERADO">
      <formula>NOT(ISERROR(SEARCH("MODERADO",N51)))</formula>
    </cfRule>
    <cfRule type="containsText" dxfId="1001" priority="1596" operator="containsText" text="SANO">
      <formula>NOT(ISERROR(SEARCH("SANO",N51)))</formula>
    </cfRule>
    <cfRule type="containsText" dxfId="1000" priority="1597" operator="containsText" text="ALTO">
      <formula>NOT(ISERROR(SEARCH("ALTO",N51)))</formula>
    </cfRule>
    <cfRule type="colorScale" priority="159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99" priority="1599" operator="containsText" text="ALTO">
      <formula>NOT(ISERROR(SEARCH("ALTO",N51)))</formula>
    </cfRule>
  </conditionalFormatting>
  <conditionalFormatting sqref="N51">
    <cfRule type="containsText" dxfId="998" priority="1586" operator="containsText" text="R. MODERADO">
      <formula>NOT(ISERROR(SEARCH("R. MODERADO",N51)))</formula>
    </cfRule>
  </conditionalFormatting>
  <conditionalFormatting sqref="N52:N53">
    <cfRule type="containsText" dxfId="997" priority="1575" operator="containsText" text="MODERADO">
      <formula>NOT(ISERROR(SEARCH("MODERADO",N52)))</formula>
    </cfRule>
    <cfRule type="containsText" dxfId="996" priority="1576" operator="containsText" text="SANO">
      <formula>NOT(ISERROR(SEARCH("SANO",N52)))</formula>
    </cfRule>
    <cfRule type="containsText" dxfId="995" priority="1577" operator="containsText" text="ALTO">
      <formula>NOT(ISERROR(SEARCH("ALTO",N52)))</formula>
    </cfRule>
    <cfRule type="containsText" dxfId="994" priority="1578" operator="containsText" text="BAJO">
      <formula>NOT(ISERROR(SEARCH("BAJO",N52)))</formula>
    </cfRule>
    <cfRule type="containsText" dxfId="993" priority="1579" operator="containsText" text="FALTA">
      <formula>NOT(ISERROR(SEARCH("FALTA",N52)))</formula>
    </cfRule>
  </conditionalFormatting>
  <conditionalFormatting sqref="N52:N53">
    <cfRule type="containsText" dxfId="992" priority="1574" operator="containsText" text="N/A">
      <formula>NOT(ISERROR(SEARCH("N/A",N52)))</formula>
    </cfRule>
  </conditionalFormatting>
  <conditionalFormatting sqref="N52:N53">
    <cfRule type="containsText" dxfId="991" priority="1573" operator="containsText" text="MEDIO">
      <formula>NOT(ISERROR(SEARCH("MEDIO",N52)))</formula>
    </cfRule>
  </conditionalFormatting>
  <conditionalFormatting sqref="N52:N53">
    <cfRule type="containsText" dxfId="990" priority="1572" operator="containsText" text="R. MODERADO">
      <formula>NOT(ISERROR(SEARCH("R. MODERADO",N52)))</formula>
    </cfRule>
  </conditionalFormatting>
  <conditionalFormatting sqref="N52:N53">
    <cfRule type="containsText" dxfId="989" priority="1580" operator="containsText" text="BAJO">
      <formula>NOT(ISERROR(SEARCH("BAJO",N52)))</formula>
    </cfRule>
    <cfRule type="containsText" dxfId="988" priority="1581" operator="containsText" text="MODERADO">
      <formula>NOT(ISERROR(SEARCH("MODERADO",N52)))</formula>
    </cfRule>
    <cfRule type="containsText" dxfId="987" priority="1582" operator="containsText" text="SANO">
      <formula>NOT(ISERROR(SEARCH("SANO",N52)))</formula>
    </cfRule>
    <cfRule type="containsText" dxfId="986" priority="1583" operator="containsText" text="ALTO">
      <formula>NOT(ISERROR(SEARCH("ALTO",N52)))</formula>
    </cfRule>
    <cfRule type="colorScale" priority="158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85" priority="1585" operator="containsText" text="ALTO">
      <formula>NOT(ISERROR(SEARCH("ALTO",N52)))</formula>
    </cfRule>
  </conditionalFormatting>
  <conditionalFormatting sqref="N55">
    <cfRule type="containsText" dxfId="984" priority="1547" operator="containsText" text="MODERADO">
      <formula>NOT(ISERROR(SEARCH("MODERADO",N55)))</formula>
    </cfRule>
    <cfRule type="containsText" dxfId="983" priority="1548" operator="containsText" text="SANO">
      <formula>NOT(ISERROR(SEARCH("SANO",N55)))</formula>
    </cfRule>
    <cfRule type="containsText" dxfId="982" priority="1549" operator="containsText" text="ALTO">
      <formula>NOT(ISERROR(SEARCH("ALTO",N55)))</formula>
    </cfRule>
    <cfRule type="containsText" dxfId="981" priority="1550" operator="containsText" text="BAJO">
      <formula>NOT(ISERROR(SEARCH("BAJO",N55)))</formula>
    </cfRule>
    <cfRule type="containsText" dxfId="980" priority="1551" operator="containsText" text="FALTA">
      <formula>NOT(ISERROR(SEARCH("FALTA",N55)))</formula>
    </cfRule>
  </conditionalFormatting>
  <conditionalFormatting sqref="N55">
    <cfRule type="containsText" dxfId="979" priority="1546" operator="containsText" text="N/A">
      <formula>NOT(ISERROR(SEARCH("N/A",N55)))</formula>
    </cfRule>
  </conditionalFormatting>
  <conditionalFormatting sqref="N55">
    <cfRule type="containsText" dxfId="978" priority="1545" operator="containsText" text="MEDIO">
      <formula>NOT(ISERROR(SEARCH("MEDIO",N55)))</formula>
    </cfRule>
  </conditionalFormatting>
  <conditionalFormatting sqref="N55">
    <cfRule type="containsText" dxfId="977" priority="1544" operator="containsText" text="R. MODERADO">
      <formula>NOT(ISERROR(SEARCH("R. MODERADO",N55)))</formula>
    </cfRule>
  </conditionalFormatting>
  <conditionalFormatting sqref="N55">
    <cfRule type="containsText" dxfId="976" priority="1552" operator="containsText" text="BAJO">
      <formula>NOT(ISERROR(SEARCH("BAJO",N55)))</formula>
    </cfRule>
    <cfRule type="containsText" dxfId="975" priority="1553" operator="containsText" text="MODERADO">
      <formula>NOT(ISERROR(SEARCH("MODERADO",N55)))</formula>
    </cfRule>
    <cfRule type="containsText" dxfId="974" priority="1554" operator="containsText" text="SANO">
      <formula>NOT(ISERROR(SEARCH("SANO",N55)))</formula>
    </cfRule>
    <cfRule type="containsText" dxfId="973" priority="1555" operator="containsText" text="ALTO">
      <formula>NOT(ISERROR(SEARCH("ALTO",N55)))</formula>
    </cfRule>
    <cfRule type="colorScale" priority="155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72" priority="1557" operator="containsText" text="ALTO">
      <formula>NOT(ISERROR(SEARCH("ALTO",N55)))</formula>
    </cfRule>
  </conditionalFormatting>
  <conditionalFormatting sqref="N57">
    <cfRule type="containsText" dxfId="971" priority="1533" operator="containsText" text="MODERADO">
      <formula>NOT(ISERROR(SEARCH("MODERADO",N57)))</formula>
    </cfRule>
    <cfRule type="containsText" dxfId="970" priority="1534" operator="containsText" text="SANO">
      <formula>NOT(ISERROR(SEARCH("SANO",N57)))</formula>
    </cfRule>
    <cfRule type="containsText" dxfId="969" priority="1535" operator="containsText" text="ALTO">
      <formula>NOT(ISERROR(SEARCH("ALTO",N57)))</formula>
    </cfRule>
    <cfRule type="containsText" dxfId="968" priority="1536" operator="containsText" text="BAJO">
      <formula>NOT(ISERROR(SEARCH("BAJO",N57)))</formula>
    </cfRule>
    <cfRule type="containsText" dxfId="967" priority="1537" operator="containsText" text="FALTA">
      <formula>NOT(ISERROR(SEARCH("FALTA",N57)))</formula>
    </cfRule>
  </conditionalFormatting>
  <conditionalFormatting sqref="N57">
    <cfRule type="containsText" dxfId="966" priority="1532" operator="containsText" text="N/A">
      <formula>NOT(ISERROR(SEARCH("N/A",N57)))</formula>
    </cfRule>
  </conditionalFormatting>
  <conditionalFormatting sqref="N57">
    <cfRule type="containsText" dxfId="965" priority="1531" operator="containsText" text="MEDIO">
      <formula>NOT(ISERROR(SEARCH("MEDIO",N57)))</formula>
    </cfRule>
  </conditionalFormatting>
  <conditionalFormatting sqref="N57">
    <cfRule type="containsText" dxfId="964" priority="1530" operator="containsText" text="R. MODERADO">
      <formula>NOT(ISERROR(SEARCH("R. MODERADO",N57)))</formula>
    </cfRule>
  </conditionalFormatting>
  <conditionalFormatting sqref="N57">
    <cfRule type="containsText" dxfId="963" priority="1538" operator="containsText" text="BAJO">
      <formula>NOT(ISERROR(SEARCH("BAJO",N57)))</formula>
    </cfRule>
    <cfRule type="containsText" dxfId="962" priority="1539" operator="containsText" text="MODERADO">
      <formula>NOT(ISERROR(SEARCH("MODERADO",N57)))</formula>
    </cfRule>
    <cfRule type="containsText" dxfId="961" priority="1540" operator="containsText" text="SANO">
      <formula>NOT(ISERROR(SEARCH("SANO",N57)))</formula>
    </cfRule>
    <cfRule type="containsText" dxfId="960" priority="1541" operator="containsText" text="ALTO">
      <formula>NOT(ISERROR(SEARCH("ALTO",N57)))</formula>
    </cfRule>
    <cfRule type="colorScale" priority="154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59" priority="1543" operator="containsText" text="ALTO">
      <formula>NOT(ISERROR(SEARCH("ALTO",N57)))</formula>
    </cfRule>
  </conditionalFormatting>
  <conditionalFormatting sqref="N54">
    <cfRule type="containsText" dxfId="958" priority="1519" operator="containsText" text="MODERADO">
      <formula>NOT(ISERROR(SEARCH("MODERADO",N54)))</formula>
    </cfRule>
    <cfRule type="containsText" dxfId="957" priority="1520" operator="containsText" text="SANO">
      <formula>NOT(ISERROR(SEARCH("SANO",N54)))</formula>
    </cfRule>
    <cfRule type="containsText" dxfId="956" priority="1521" operator="containsText" text="ALTO">
      <formula>NOT(ISERROR(SEARCH("ALTO",N54)))</formula>
    </cfRule>
    <cfRule type="containsText" dxfId="955" priority="1522" operator="containsText" text="BAJO">
      <formula>NOT(ISERROR(SEARCH("BAJO",N54)))</formula>
    </cfRule>
    <cfRule type="containsText" dxfId="954" priority="1523" operator="containsText" text="FALTA">
      <formula>NOT(ISERROR(SEARCH("FALTA",N54)))</formula>
    </cfRule>
  </conditionalFormatting>
  <conditionalFormatting sqref="N54">
    <cfRule type="containsText" dxfId="953" priority="1518" operator="containsText" text="N/A">
      <formula>NOT(ISERROR(SEARCH("N/A",N54)))</formula>
    </cfRule>
  </conditionalFormatting>
  <conditionalFormatting sqref="N54">
    <cfRule type="containsText" dxfId="952" priority="1517" operator="containsText" text="MEDIO">
      <formula>NOT(ISERROR(SEARCH("MEDIO",N54)))</formula>
    </cfRule>
  </conditionalFormatting>
  <conditionalFormatting sqref="N54">
    <cfRule type="containsText" dxfId="951" priority="1516" operator="containsText" text="R. MODERADO">
      <formula>NOT(ISERROR(SEARCH("R. MODERADO",N54)))</formula>
    </cfRule>
  </conditionalFormatting>
  <conditionalFormatting sqref="N54">
    <cfRule type="containsText" dxfId="950" priority="1524" operator="containsText" text="BAJO">
      <formula>NOT(ISERROR(SEARCH("BAJO",N54)))</formula>
    </cfRule>
    <cfRule type="containsText" dxfId="949" priority="1525" operator="containsText" text="MODERADO">
      <formula>NOT(ISERROR(SEARCH("MODERADO",N54)))</formula>
    </cfRule>
    <cfRule type="containsText" dxfId="948" priority="1526" operator="containsText" text="SANO">
      <formula>NOT(ISERROR(SEARCH("SANO",N54)))</formula>
    </cfRule>
    <cfRule type="containsText" dxfId="947" priority="1527" operator="containsText" text="ALTO">
      <formula>NOT(ISERROR(SEARCH("ALTO",N54)))</formula>
    </cfRule>
    <cfRule type="colorScale" priority="152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46" priority="1529" operator="containsText" text="ALTO">
      <formula>NOT(ISERROR(SEARCH("ALTO",N54)))</formula>
    </cfRule>
  </conditionalFormatting>
  <conditionalFormatting sqref="N56">
    <cfRule type="containsText" dxfId="945" priority="1505" operator="containsText" text="MODERADO">
      <formula>NOT(ISERROR(SEARCH("MODERADO",N56)))</formula>
    </cfRule>
    <cfRule type="containsText" dxfId="944" priority="1506" operator="containsText" text="SANO">
      <formula>NOT(ISERROR(SEARCH("SANO",N56)))</formula>
    </cfRule>
    <cfRule type="containsText" dxfId="943" priority="1507" operator="containsText" text="ALTO">
      <formula>NOT(ISERROR(SEARCH("ALTO",N56)))</formula>
    </cfRule>
    <cfRule type="containsText" dxfId="942" priority="1508" operator="containsText" text="BAJO">
      <formula>NOT(ISERROR(SEARCH("BAJO",N56)))</formula>
    </cfRule>
    <cfRule type="containsText" dxfId="941" priority="1509" operator="containsText" text="FALTA">
      <formula>NOT(ISERROR(SEARCH("FALTA",N56)))</formula>
    </cfRule>
  </conditionalFormatting>
  <conditionalFormatting sqref="N56">
    <cfRule type="containsText" dxfId="940" priority="1504" operator="containsText" text="N/A">
      <formula>NOT(ISERROR(SEARCH("N/A",N56)))</formula>
    </cfRule>
  </conditionalFormatting>
  <conditionalFormatting sqref="N56">
    <cfRule type="containsText" dxfId="939" priority="1503" operator="containsText" text="MEDIO">
      <formula>NOT(ISERROR(SEARCH("MEDIO",N56)))</formula>
    </cfRule>
  </conditionalFormatting>
  <conditionalFormatting sqref="N56">
    <cfRule type="containsText" dxfId="938" priority="1502" operator="containsText" text="R. MODERADO">
      <formula>NOT(ISERROR(SEARCH("R. MODERADO",N56)))</formula>
    </cfRule>
  </conditionalFormatting>
  <conditionalFormatting sqref="N56">
    <cfRule type="containsText" dxfId="937" priority="1510" operator="containsText" text="BAJO">
      <formula>NOT(ISERROR(SEARCH("BAJO",N56)))</formula>
    </cfRule>
    <cfRule type="containsText" dxfId="936" priority="1511" operator="containsText" text="MODERADO">
      <formula>NOT(ISERROR(SEARCH("MODERADO",N56)))</formula>
    </cfRule>
    <cfRule type="containsText" dxfId="935" priority="1512" operator="containsText" text="SANO">
      <formula>NOT(ISERROR(SEARCH("SANO",N56)))</formula>
    </cfRule>
    <cfRule type="containsText" dxfId="934" priority="1513" operator="containsText" text="ALTO">
      <formula>NOT(ISERROR(SEARCH("ALTO",N56)))</formula>
    </cfRule>
    <cfRule type="colorScale" priority="151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33" priority="1515" operator="containsText" text="ALTO">
      <formula>NOT(ISERROR(SEARCH("ALTO",N56)))</formula>
    </cfRule>
  </conditionalFormatting>
  <conditionalFormatting sqref="N58">
    <cfRule type="containsText" dxfId="932" priority="1491" operator="containsText" text="MODERADO">
      <formula>NOT(ISERROR(SEARCH("MODERADO",N58)))</formula>
    </cfRule>
    <cfRule type="containsText" dxfId="931" priority="1492" operator="containsText" text="SANO">
      <formula>NOT(ISERROR(SEARCH("SANO",N58)))</formula>
    </cfRule>
    <cfRule type="containsText" dxfId="930" priority="1493" operator="containsText" text="ALTO">
      <formula>NOT(ISERROR(SEARCH("ALTO",N58)))</formula>
    </cfRule>
    <cfRule type="containsText" dxfId="929" priority="1494" operator="containsText" text="BAJO">
      <formula>NOT(ISERROR(SEARCH("BAJO",N58)))</formula>
    </cfRule>
    <cfRule type="containsText" dxfId="928" priority="1495" operator="containsText" text="FALTA">
      <formula>NOT(ISERROR(SEARCH("FALTA",N58)))</formula>
    </cfRule>
  </conditionalFormatting>
  <conditionalFormatting sqref="N58">
    <cfRule type="containsText" dxfId="927" priority="1490" operator="containsText" text="N/A">
      <formula>NOT(ISERROR(SEARCH("N/A",N58)))</formula>
    </cfRule>
  </conditionalFormatting>
  <conditionalFormatting sqref="N58">
    <cfRule type="containsText" dxfId="926" priority="1489" operator="containsText" text="MEDIO">
      <formula>NOT(ISERROR(SEARCH("MEDIO",N58)))</formula>
    </cfRule>
  </conditionalFormatting>
  <conditionalFormatting sqref="N58">
    <cfRule type="containsText" dxfId="925" priority="1488" operator="containsText" text="R. MODERADO">
      <formula>NOT(ISERROR(SEARCH("R. MODERADO",N58)))</formula>
    </cfRule>
  </conditionalFormatting>
  <conditionalFormatting sqref="N58">
    <cfRule type="containsText" dxfId="924" priority="1496" operator="containsText" text="BAJO">
      <formula>NOT(ISERROR(SEARCH("BAJO",N58)))</formula>
    </cfRule>
    <cfRule type="containsText" dxfId="923" priority="1497" operator="containsText" text="MODERADO">
      <formula>NOT(ISERROR(SEARCH("MODERADO",N58)))</formula>
    </cfRule>
    <cfRule type="containsText" dxfId="922" priority="1498" operator="containsText" text="SANO">
      <formula>NOT(ISERROR(SEARCH("SANO",N58)))</formula>
    </cfRule>
    <cfRule type="containsText" dxfId="921" priority="1499" operator="containsText" text="ALTO">
      <formula>NOT(ISERROR(SEARCH("ALTO",N58)))</formula>
    </cfRule>
    <cfRule type="colorScale" priority="150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20" priority="1501" operator="containsText" text="ALTO">
      <formula>NOT(ISERROR(SEARCH("ALTO",N58)))</formula>
    </cfRule>
  </conditionalFormatting>
  <conditionalFormatting sqref="N59">
    <cfRule type="containsText" dxfId="919" priority="1477" operator="containsText" text="MODERADO">
      <formula>NOT(ISERROR(SEARCH("MODERADO",N59)))</formula>
    </cfRule>
    <cfRule type="containsText" dxfId="918" priority="1478" operator="containsText" text="SANO">
      <formula>NOT(ISERROR(SEARCH("SANO",N59)))</formula>
    </cfRule>
    <cfRule type="containsText" dxfId="917" priority="1479" operator="containsText" text="ALTO">
      <formula>NOT(ISERROR(SEARCH("ALTO",N59)))</formula>
    </cfRule>
    <cfRule type="containsText" dxfId="916" priority="1480" operator="containsText" text="BAJO">
      <formula>NOT(ISERROR(SEARCH("BAJO",N59)))</formula>
    </cfRule>
    <cfRule type="containsText" dxfId="915" priority="1481" operator="containsText" text="FALTA">
      <formula>NOT(ISERROR(SEARCH("FALTA",N59)))</formula>
    </cfRule>
  </conditionalFormatting>
  <conditionalFormatting sqref="N59">
    <cfRule type="containsText" dxfId="914" priority="1476" operator="containsText" text="N/A">
      <formula>NOT(ISERROR(SEARCH("N/A",N59)))</formula>
    </cfRule>
  </conditionalFormatting>
  <conditionalFormatting sqref="N59">
    <cfRule type="containsText" dxfId="913" priority="1475" operator="containsText" text="MEDIO">
      <formula>NOT(ISERROR(SEARCH("MEDIO",N59)))</formula>
    </cfRule>
  </conditionalFormatting>
  <conditionalFormatting sqref="N59">
    <cfRule type="containsText" dxfId="912" priority="1474" operator="containsText" text="R. MODERADO">
      <formula>NOT(ISERROR(SEARCH("R. MODERADO",N59)))</formula>
    </cfRule>
  </conditionalFormatting>
  <conditionalFormatting sqref="N59">
    <cfRule type="containsText" dxfId="911" priority="1482" operator="containsText" text="BAJO">
      <formula>NOT(ISERROR(SEARCH("BAJO",N59)))</formula>
    </cfRule>
    <cfRule type="containsText" dxfId="910" priority="1483" operator="containsText" text="MODERADO">
      <formula>NOT(ISERROR(SEARCH("MODERADO",N59)))</formula>
    </cfRule>
    <cfRule type="containsText" dxfId="909" priority="1484" operator="containsText" text="SANO">
      <formula>NOT(ISERROR(SEARCH("SANO",N59)))</formula>
    </cfRule>
    <cfRule type="containsText" dxfId="908" priority="1485" operator="containsText" text="ALTO">
      <formula>NOT(ISERROR(SEARCH("ALTO",N59)))</formula>
    </cfRule>
    <cfRule type="colorScale" priority="148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907" priority="1487" operator="containsText" text="ALTO">
      <formula>NOT(ISERROR(SEARCH("ALTO",N59)))</formula>
    </cfRule>
  </conditionalFormatting>
  <conditionalFormatting sqref="N60">
    <cfRule type="containsText" dxfId="906" priority="1463" operator="containsText" text="MODERADO">
      <formula>NOT(ISERROR(SEARCH("MODERADO",N60)))</formula>
    </cfRule>
    <cfRule type="containsText" dxfId="905" priority="1464" operator="containsText" text="SANO">
      <formula>NOT(ISERROR(SEARCH("SANO",N60)))</formula>
    </cfRule>
    <cfRule type="containsText" dxfId="904" priority="1465" operator="containsText" text="ALTO">
      <formula>NOT(ISERROR(SEARCH("ALTO",N60)))</formula>
    </cfRule>
    <cfRule type="containsText" dxfId="903" priority="1466" operator="containsText" text="BAJO">
      <formula>NOT(ISERROR(SEARCH("BAJO",N60)))</formula>
    </cfRule>
    <cfRule type="containsText" dxfId="902" priority="1467" operator="containsText" text="FALTA">
      <formula>NOT(ISERROR(SEARCH("FALTA",N60)))</formula>
    </cfRule>
  </conditionalFormatting>
  <conditionalFormatting sqref="N60">
    <cfRule type="containsText" dxfId="901" priority="1462" operator="containsText" text="N/A">
      <formula>NOT(ISERROR(SEARCH("N/A",N60)))</formula>
    </cfRule>
  </conditionalFormatting>
  <conditionalFormatting sqref="N60">
    <cfRule type="containsText" dxfId="900" priority="1461" operator="containsText" text="MEDIO">
      <formula>NOT(ISERROR(SEARCH("MEDIO",N60)))</formula>
    </cfRule>
  </conditionalFormatting>
  <conditionalFormatting sqref="N60">
    <cfRule type="containsText" dxfId="899" priority="1468" operator="containsText" text="BAJO">
      <formula>NOT(ISERROR(SEARCH("BAJO",N60)))</formula>
    </cfRule>
    <cfRule type="containsText" dxfId="898" priority="1469" operator="containsText" text="MODERADO">
      <formula>NOT(ISERROR(SEARCH("MODERADO",N60)))</formula>
    </cfRule>
    <cfRule type="containsText" dxfId="897" priority="1470" operator="containsText" text="SANO">
      <formula>NOT(ISERROR(SEARCH("SANO",N60)))</formula>
    </cfRule>
    <cfRule type="containsText" dxfId="896" priority="1471" operator="containsText" text="ALTO">
      <formula>NOT(ISERROR(SEARCH("ALTO",N60)))</formula>
    </cfRule>
    <cfRule type="colorScale" priority="147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95" priority="1473" operator="containsText" text="ALTO">
      <formula>NOT(ISERROR(SEARCH("ALTO",N60)))</formula>
    </cfRule>
  </conditionalFormatting>
  <conditionalFormatting sqref="N60">
    <cfRule type="containsText" dxfId="894" priority="1460" operator="containsText" text="R. MODERADO">
      <formula>NOT(ISERROR(SEARCH("R. MODERADO",N60)))</formula>
    </cfRule>
  </conditionalFormatting>
  <conditionalFormatting sqref="N61:N62">
    <cfRule type="containsText" dxfId="893" priority="1449" operator="containsText" text="MODERADO">
      <formula>NOT(ISERROR(SEARCH("MODERADO",N61)))</formula>
    </cfRule>
    <cfRule type="containsText" dxfId="892" priority="1450" operator="containsText" text="SANO">
      <formula>NOT(ISERROR(SEARCH("SANO",N61)))</formula>
    </cfRule>
    <cfRule type="containsText" dxfId="891" priority="1451" operator="containsText" text="ALTO">
      <formula>NOT(ISERROR(SEARCH("ALTO",N61)))</formula>
    </cfRule>
    <cfRule type="containsText" dxfId="890" priority="1452" operator="containsText" text="BAJO">
      <formula>NOT(ISERROR(SEARCH("BAJO",N61)))</formula>
    </cfRule>
    <cfRule type="containsText" dxfId="889" priority="1453" operator="containsText" text="FALTA">
      <formula>NOT(ISERROR(SEARCH("FALTA",N61)))</formula>
    </cfRule>
  </conditionalFormatting>
  <conditionalFormatting sqref="N61:N62">
    <cfRule type="containsText" dxfId="888" priority="1448" operator="containsText" text="N/A">
      <formula>NOT(ISERROR(SEARCH("N/A",N61)))</formula>
    </cfRule>
  </conditionalFormatting>
  <conditionalFormatting sqref="N61:N62">
    <cfRule type="containsText" dxfId="887" priority="1447" operator="containsText" text="MEDIO">
      <formula>NOT(ISERROR(SEARCH("MEDIO",N61)))</formula>
    </cfRule>
  </conditionalFormatting>
  <conditionalFormatting sqref="N61:N62">
    <cfRule type="containsText" dxfId="886" priority="1446" operator="containsText" text="R. MODERADO">
      <formula>NOT(ISERROR(SEARCH("R. MODERADO",N61)))</formula>
    </cfRule>
  </conditionalFormatting>
  <conditionalFormatting sqref="N61:N62">
    <cfRule type="containsText" dxfId="885" priority="1454" operator="containsText" text="BAJO">
      <formula>NOT(ISERROR(SEARCH("BAJO",N61)))</formula>
    </cfRule>
    <cfRule type="containsText" dxfId="884" priority="1455" operator="containsText" text="MODERADO">
      <formula>NOT(ISERROR(SEARCH("MODERADO",N61)))</formula>
    </cfRule>
    <cfRule type="containsText" dxfId="883" priority="1456" operator="containsText" text="SANO">
      <formula>NOT(ISERROR(SEARCH("SANO",N61)))</formula>
    </cfRule>
    <cfRule type="containsText" dxfId="882" priority="1457" operator="containsText" text="ALTO">
      <formula>NOT(ISERROR(SEARCH("ALTO",N61)))</formula>
    </cfRule>
    <cfRule type="colorScale" priority="145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81" priority="1459" operator="containsText" text="ALTO">
      <formula>NOT(ISERROR(SEARCH("ALTO",N61)))</formula>
    </cfRule>
  </conditionalFormatting>
  <conditionalFormatting sqref="N63:N64">
    <cfRule type="containsText" dxfId="880" priority="1435" operator="containsText" text="MODERADO">
      <formula>NOT(ISERROR(SEARCH("MODERADO",N63)))</formula>
    </cfRule>
    <cfRule type="containsText" dxfId="879" priority="1436" operator="containsText" text="SANO">
      <formula>NOT(ISERROR(SEARCH("SANO",N63)))</formula>
    </cfRule>
    <cfRule type="containsText" dxfId="878" priority="1437" operator="containsText" text="ALTO">
      <formula>NOT(ISERROR(SEARCH("ALTO",N63)))</formula>
    </cfRule>
    <cfRule type="containsText" dxfId="877" priority="1438" operator="containsText" text="BAJO">
      <formula>NOT(ISERROR(SEARCH("BAJO",N63)))</formula>
    </cfRule>
    <cfRule type="containsText" dxfId="876" priority="1439" operator="containsText" text="FALTA">
      <formula>NOT(ISERROR(SEARCH("FALTA",N63)))</formula>
    </cfRule>
  </conditionalFormatting>
  <conditionalFormatting sqref="N63:N64">
    <cfRule type="containsText" dxfId="875" priority="1434" operator="containsText" text="N/A">
      <formula>NOT(ISERROR(SEARCH("N/A",N63)))</formula>
    </cfRule>
  </conditionalFormatting>
  <conditionalFormatting sqref="N63:N64">
    <cfRule type="containsText" dxfId="874" priority="1433" operator="containsText" text="MEDIO">
      <formula>NOT(ISERROR(SEARCH("MEDIO",N63)))</formula>
    </cfRule>
  </conditionalFormatting>
  <conditionalFormatting sqref="N63:N64">
    <cfRule type="containsText" dxfId="873" priority="1432" operator="containsText" text="R. MODERADO">
      <formula>NOT(ISERROR(SEARCH("R. MODERADO",N63)))</formula>
    </cfRule>
  </conditionalFormatting>
  <conditionalFormatting sqref="N63:N64">
    <cfRule type="containsText" dxfId="872" priority="1440" operator="containsText" text="BAJO">
      <formula>NOT(ISERROR(SEARCH("BAJO",N63)))</formula>
    </cfRule>
    <cfRule type="containsText" dxfId="871" priority="1441" operator="containsText" text="MODERADO">
      <formula>NOT(ISERROR(SEARCH("MODERADO",N63)))</formula>
    </cfRule>
    <cfRule type="containsText" dxfId="870" priority="1442" operator="containsText" text="SANO">
      <formula>NOT(ISERROR(SEARCH("SANO",N63)))</formula>
    </cfRule>
    <cfRule type="containsText" dxfId="869" priority="1443" operator="containsText" text="ALTO">
      <formula>NOT(ISERROR(SEARCH("ALTO",N63)))</formula>
    </cfRule>
    <cfRule type="colorScale" priority="144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68" priority="1445" operator="containsText" text="ALTO">
      <formula>NOT(ISERROR(SEARCH("ALTO",N63)))</formula>
    </cfRule>
  </conditionalFormatting>
  <conditionalFormatting sqref="N67:N69">
    <cfRule type="containsText" dxfId="867" priority="1421" operator="containsText" text="MODERADO">
      <formula>NOT(ISERROR(SEARCH("MODERADO",N67)))</formula>
    </cfRule>
    <cfRule type="containsText" dxfId="866" priority="1422" operator="containsText" text="SANO">
      <formula>NOT(ISERROR(SEARCH("SANO",N67)))</formula>
    </cfRule>
    <cfRule type="containsText" dxfId="865" priority="1423" operator="containsText" text="ALTO">
      <formula>NOT(ISERROR(SEARCH("ALTO",N67)))</formula>
    </cfRule>
    <cfRule type="containsText" dxfId="864" priority="1424" operator="containsText" text="BAJO">
      <formula>NOT(ISERROR(SEARCH("BAJO",N67)))</formula>
    </cfRule>
    <cfRule type="containsText" dxfId="863" priority="1425" operator="containsText" text="FALTA">
      <formula>NOT(ISERROR(SEARCH("FALTA",N67)))</formula>
    </cfRule>
  </conditionalFormatting>
  <conditionalFormatting sqref="N67:N69">
    <cfRule type="containsText" dxfId="862" priority="1420" operator="containsText" text="N/A">
      <formula>NOT(ISERROR(SEARCH("N/A",N67)))</formula>
    </cfRule>
  </conditionalFormatting>
  <conditionalFormatting sqref="N67:N69">
    <cfRule type="containsText" dxfId="861" priority="1419" operator="containsText" text="MEDIO">
      <formula>NOT(ISERROR(SEARCH("MEDIO",N67)))</formula>
    </cfRule>
  </conditionalFormatting>
  <conditionalFormatting sqref="N67:N69">
    <cfRule type="containsText" dxfId="860" priority="1418" operator="containsText" text="R. MODERADO">
      <formula>NOT(ISERROR(SEARCH("R. MODERADO",N67)))</formula>
    </cfRule>
  </conditionalFormatting>
  <conditionalFormatting sqref="N67:N69">
    <cfRule type="containsText" dxfId="859" priority="1426" operator="containsText" text="BAJO">
      <formula>NOT(ISERROR(SEARCH("BAJO",N67)))</formula>
    </cfRule>
    <cfRule type="containsText" dxfId="858" priority="1427" operator="containsText" text="MODERADO">
      <formula>NOT(ISERROR(SEARCH("MODERADO",N67)))</formula>
    </cfRule>
    <cfRule type="containsText" dxfId="857" priority="1428" operator="containsText" text="SANO">
      <formula>NOT(ISERROR(SEARCH("SANO",N67)))</formula>
    </cfRule>
    <cfRule type="containsText" dxfId="856" priority="1429" operator="containsText" text="ALTO">
      <formula>NOT(ISERROR(SEARCH("ALTO",N67)))</formula>
    </cfRule>
    <cfRule type="colorScale" priority="143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55" priority="1431" operator="containsText" text="ALTO">
      <formula>NOT(ISERROR(SEARCH("ALTO",N67)))</formula>
    </cfRule>
  </conditionalFormatting>
  <conditionalFormatting sqref="N65">
    <cfRule type="containsText" dxfId="854" priority="1407" operator="containsText" text="MODERADO">
      <formula>NOT(ISERROR(SEARCH("MODERADO",N65)))</formula>
    </cfRule>
    <cfRule type="containsText" dxfId="853" priority="1408" operator="containsText" text="SANO">
      <formula>NOT(ISERROR(SEARCH("SANO",N65)))</formula>
    </cfRule>
    <cfRule type="containsText" dxfId="852" priority="1409" operator="containsText" text="ALTO">
      <formula>NOT(ISERROR(SEARCH("ALTO",N65)))</formula>
    </cfRule>
    <cfRule type="containsText" dxfId="851" priority="1410" operator="containsText" text="BAJO">
      <formula>NOT(ISERROR(SEARCH("BAJO",N65)))</formula>
    </cfRule>
    <cfRule type="containsText" dxfId="850" priority="1411" operator="containsText" text="FALTA">
      <formula>NOT(ISERROR(SEARCH("FALTA",N65)))</formula>
    </cfRule>
  </conditionalFormatting>
  <conditionalFormatting sqref="N65">
    <cfRule type="containsText" dxfId="849" priority="1406" operator="containsText" text="N/A">
      <formula>NOT(ISERROR(SEARCH("N/A",N65)))</formula>
    </cfRule>
  </conditionalFormatting>
  <conditionalFormatting sqref="N65">
    <cfRule type="containsText" dxfId="848" priority="1405" operator="containsText" text="MEDIO">
      <formula>NOT(ISERROR(SEARCH("MEDIO",N65)))</formula>
    </cfRule>
  </conditionalFormatting>
  <conditionalFormatting sqref="N65">
    <cfRule type="containsText" dxfId="847" priority="1404" operator="containsText" text="R. MODERADO">
      <formula>NOT(ISERROR(SEARCH("R. MODERADO",N65)))</formula>
    </cfRule>
  </conditionalFormatting>
  <conditionalFormatting sqref="N65">
    <cfRule type="containsText" dxfId="846" priority="1412" operator="containsText" text="BAJO">
      <formula>NOT(ISERROR(SEARCH("BAJO",N65)))</formula>
    </cfRule>
    <cfRule type="containsText" dxfId="845" priority="1413" operator="containsText" text="MODERADO">
      <formula>NOT(ISERROR(SEARCH("MODERADO",N65)))</formula>
    </cfRule>
    <cfRule type="containsText" dxfId="844" priority="1414" operator="containsText" text="SANO">
      <formula>NOT(ISERROR(SEARCH("SANO",N65)))</formula>
    </cfRule>
    <cfRule type="containsText" dxfId="843" priority="1415" operator="containsText" text="ALTO">
      <formula>NOT(ISERROR(SEARCH("ALTO",N65)))</formula>
    </cfRule>
    <cfRule type="colorScale" priority="141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42" priority="1417" operator="containsText" text="ALTO">
      <formula>NOT(ISERROR(SEARCH("ALTO",N65)))</formula>
    </cfRule>
  </conditionalFormatting>
  <conditionalFormatting sqref="N66">
    <cfRule type="containsText" dxfId="841" priority="1393" operator="containsText" text="MODERADO">
      <formula>NOT(ISERROR(SEARCH("MODERADO",N66)))</formula>
    </cfRule>
    <cfRule type="containsText" dxfId="840" priority="1394" operator="containsText" text="SANO">
      <formula>NOT(ISERROR(SEARCH("SANO",N66)))</formula>
    </cfRule>
    <cfRule type="containsText" dxfId="839" priority="1395" operator="containsText" text="ALTO">
      <formula>NOT(ISERROR(SEARCH("ALTO",N66)))</formula>
    </cfRule>
    <cfRule type="containsText" dxfId="838" priority="1396" operator="containsText" text="BAJO">
      <formula>NOT(ISERROR(SEARCH("BAJO",N66)))</formula>
    </cfRule>
    <cfRule type="containsText" dxfId="837" priority="1397" operator="containsText" text="FALTA">
      <formula>NOT(ISERROR(SEARCH("FALTA",N66)))</formula>
    </cfRule>
  </conditionalFormatting>
  <conditionalFormatting sqref="N66">
    <cfRule type="containsText" dxfId="836" priority="1392" operator="containsText" text="N/A">
      <formula>NOT(ISERROR(SEARCH("N/A",N66)))</formula>
    </cfRule>
  </conditionalFormatting>
  <conditionalFormatting sqref="N66">
    <cfRule type="containsText" dxfId="835" priority="1391" operator="containsText" text="MEDIO">
      <formula>NOT(ISERROR(SEARCH("MEDIO",N66)))</formula>
    </cfRule>
  </conditionalFormatting>
  <conditionalFormatting sqref="N66">
    <cfRule type="containsText" dxfId="834" priority="1398" operator="containsText" text="BAJO">
      <formula>NOT(ISERROR(SEARCH("BAJO",N66)))</formula>
    </cfRule>
    <cfRule type="containsText" dxfId="833" priority="1399" operator="containsText" text="MODERADO">
      <formula>NOT(ISERROR(SEARCH("MODERADO",N66)))</formula>
    </cfRule>
    <cfRule type="containsText" dxfId="832" priority="1400" operator="containsText" text="SANO">
      <formula>NOT(ISERROR(SEARCH("SANO",N66)))</formula>
    </cfRule>
    <cfRule type="containsText" dxfId="831" priority="1401" operator="containsText" text="ALTO">
      <formula>NOT(ISERROR(SEARCH("ALTO",N66)))</formula>
    </cfRule>
    <cfRule type="colorScale" priority="140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30" priority="1403" operator="containsText" text="ALTO">
      <formula>NOT(ISERROR(SEARCH("ALTO",N66)))</formula>
    </cfRule>
  </conditionalFormatting>
  <conditionalFormatting sqref="N66">
    <cfRule type="containsText" dxfId="829" priority="1390" operator="containsText" text="R. MODERADO">
      <formula>NOT(ISERROR(SEARCH("R. MODERADO",N66)))</formula>
    </cfRule>
  </conditionalFormatting>
  <conditionalFormatting sqref="L70:N70">
    <cfRule type="containsText" dxfId="828" priority="1379" operator="containsText" text="MODERADO">
      <formula>NOT(ISERROR(SEARCH("MODERADO",L70)))</formula>
    </cfRule>
    <cfRule type="containsText" dxfId="827" priority="1380" operator="containsText" text="SANO">
      <formula>NOT(ISERROR(SEARCH("SANO",L70)))</formula>
    </cfRule>
    <cfRule type="containsText" dxfId="826" priority="1381" operator="containsText" text="ALTO">
      <formula>NOT(ISERROR(SEARCH("ALTO",L70)))</formula>
    </cfRule>
    <cfRule type="containsText" dxfId="825" priority="1382" operator="containsText" text="BAJO">
      <formula>NOT(ISERROR(SEARCH("BAJO",L70)))</formula>
    </cfRule>
    <cfRule type="containsText" dxfId="824" priority="1383" operator="containsText" text="FALTA">
      <formula>NOT(ISERROR(SEARCH("FALTA",L70)))</formula>
    </cfRule>
  </conditionalFormatting>
  <conditionalFormatting sqref="L70:N70">
    <cfRule type="containsText" dxfId="823" priority="1378" operator="containsText" text="N/A">
      <formula>NOT(ISERROR(SEARCH("N/A",L70)))</formula>
    </cfRule>
  </conditionalFormatting>
  <conditionalFormatting sqref="L70:N70">
    <cfRule type="containsText" dxfId="822" priority="1377" operator="containsText" text="MEDIO">
      <formula>NOT(ISERROR(SEARCH("MEDIO",L70)))</formula>
    </cfRule>
  </conditionalFormatting>
  <conditionalFormatting sqref="L70:N70">
    <cfRule type="containsText" dxfId="821" priority="1376" operator="containsText" text="R. MODERADO">
      <formula>NOT(ISERROR(SEARCH("R. MODERADO",L70)))</formula>
    </cfRule>
  </conditionalFormatting>
  <conditionalFormatting sqref="L70:N70">
    <cfRule type="containsText" dxfId="820" priority="1384" operator="containsText" text="BAJO">
      <formula>NOT(ISERROR(SEARCH("BAJO",L70)))</formula>
    </cfRule>
    <cfRule type="containsText" dxfId="819" priority="1385" operator="containsText" text="MODERADO">
      <formula>NOT(ISERROR(SEARCH("MODERADO",L70)))</formula>
    </cfRule>
    <cfRule type="containsText" dxfId="818" priority="1386" operator="containsText" text="SANO">
      <formula>NOT(ISERROR(SEARCH("SANO",L70)))</formula>
    </cfRule>
    <cfRule type="containsText" dxfId="817" priority="1387" operator="containsText" text="ALTO">
      <formula>NOT(ISERROR(SEARCH("ALTO",L70)))</formula>
    </cfRule>
    <cfRule type="colorScale" priority="138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16" priority="1389" operator="containsText" text="ALTO">
      <formula>NOT(ISERROR(SEARCH("ALTO",L70)))</formula>
    </cfRule>
  </conditionalFormatting>
  <conditionalFormatting sqref="N71:N78">
    <cfRule type="containsText" dxfId="815" priority="1369" operator="containsText" text="MEDIO">
      <formula>NOT(ISERROR(SEARCH("MEDIO",N71)))</formula>
    </cfRule>
  </conditionalFormatting>
  <conditionalFormatting sqref="N71:N78">
    <cfRule type="containsText" dxfId="814" priority="1364" operator="containsText" text="MODERADO">
      <formula>NOT(ISERROR(SEARCH("MODERADO",N71)))</formula>
    </cfRule>
    <cfRule type="containsText" dxfId="813" priority="1365" operator="containsText" text="SANO">
      <formula>NOT(ISERROR(SEARCH("SANO",N71)))</formula>
    </cfRule>
    <cfRule type="containsText" dxfId="812" priority="1366" operator="containsText" text="ALTO">
      <formula>NOT(ISERROR(SEARCH("ALTO",N71)))</formula>
    </cfRule>
    <cfRule type="containsText" dxfId="811" priority="1367" operator="containsText" text="BAJO">
      <formula>NOT(ISERROR(SEARCH("BAJO",N71)))</formula>
    </cfRule>
    <cfRule type="containsText" dxfId="810" priority="1368" operator="containsText" text="FALTA">
      <formula>NOT(ISERROR(SEARCH("FALTA",N71)))</formula>
    </cfRule>
  </conditionalFormatting>
  <conditionalFormatting sqref="N71:N78">
    <cfRule type="containsText" dxfId="809" priority="1363" operator="containsText" text="N/A">
      <formula>NOT(ISERROR(SEARCH("N/A",N71)))</formula>
    </cfRule>
  </conditionalFormatting>
  <conditionalFormatting sqref="N71:N78">
    <cfRule type="containsText" dxfId="808" priority="1362" operator="containsText" text="R. MODERADO">
      <formula>NOT(ISERROR(SEARCH("R. MODERADO",N71)))</formula>
    </cfRule>
  </conditionalFormatting>
  <conditionalFormatting sqref="N71:N78">
    <cfRule type="containsText" dxfId="807" priority="1370" operator="containsText" text="BAJO">
      <formula>NOT(ISERROR(SEARCH("BAJO",N71)))</formula>
    </cfRule>
    <cfRule type="containsText" dxfId="806" priority="1371" operator="containsText" text="MODERADO">
      <formula>NOT(ISERROR(SEARCH("MODERADO",N71)))</formula>
    </cfRule>
    <cfRule type="containsText" dxfId="805" priority="1372" operator="containsText" text="SANO">
      <formula>NOT(ISERROR(SEARCH("SANO",N71)))</formula>
    </cfRule>
    <cfRule type="containsText" dxfId="804" priority="1373" operator="containsText" text="ALTO">
      <formula>NOT(ISERROR(SEARCH("ALTO",N71)))</formula>
    </cfRule>
    <cfRule type="colorScale" priority="137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03" priority="1375" operator="containsText" text="ALTO">
      <formula>NOT(ISERROR(SEARCH("ALTO",N71)))</formula>
    </cfRule>
  </conditionalFormatting>
  <conditionalFormatting sqref="N79">
    <cfRule type="containsText" dxfId="802" priority="1351" operator="containsText" text="MODERADO">
      <formula>NOT(ISERROR(SEARCH("MODERADO",N79)))</formula>
    </cfRule>
    <cfRule type="containsText" dxfId="801" priority="1352" operator="containsText" text="SANO">
      <formula>NOT(ISERROR(SEARCH("SANO",N79)))</formula>
    </cfRule>
    <cfRule type="containsText" dxfId="800" priority="1353" operator="containsText" text="ALTO">
      <formula>NOT(ISERROR(SEARCH("ALTO",N79)))</formula>
    </cfRule>
    <cfRule type="containsText" dxfId="799" priority="1354" operator="containsText" text="BAJO">
      <formula>NOT(ISERROR(SEARCH("BAJO",N79)))</formula>
    </cfRule>
    <cfRule type="containsText" dxfId="798" priority="1355" operator="containsText" text="FALTA">
      <formula>NOT(ISERROR(SEARCH("FALTA",N79)))</formula>
    </cfRule>
  </conditionalFormatting>
  <conditionalFormatting sqref="N79">
    <cfRule type="containsText" dxfId="797" priority="1350" operator="containsText" text="N/A">
      <formula>NOT(ISERROR(SEARCH("N/A",N79)))</formula>
    </cfRule>
  </conditionalFormatting>
  <conditionalFormatting sqref="N79">
    <cfRule type="containsText" dxfId="796" priority="1349" operator="containsText" text="MEDIO">
      <formula>NOT(ISERROR(SEARCH("MEDIO",N79)))</formula>
    </cfRule>
  </conditionalFormatting>
  <conditionalFormatting sqref="N79">
    <cfRule type="containsText" dxfId="795" priority="1348" operator="containsText" text="R. MODERADO">
      <formula>NOT(ISERROR(SEARCH("R. MODERADO",N79)))</formula>
    </cfRule>
  </conditionalFormatting>
  <conditionalFormatting sqref="N79">
    <cfRule type="containsText" dxfId="794" priority="1356" operator="containsText" text="BAJO">
      <formula>NOT(ISERROR(SEARCH("BAJO",N79)))</formula>
    </cfRule>
    <cfRule type="containsText" dxfId="793" priority="1357" operator="containsText" text="MODERADO">
      <formula>NOT(ISERROR(SEARCH("MODERADO",N79)))</formula>
    </cfRule>
    <cfRule type="containsText" dxfId="792" priority="1358" operator="containsText" text="SANO">
      <formula>NOT(ISERROR(SEARCH("SANO",N79)))</formula>
    </cfRule>
    <cfRule type="containsText" dxfId="791" priority="1359" operator="containsText" text="ALTO">
      <formula>NOT(ISERROR(SEARCH("ALTO",N79)))</formula>
    </cfRule>
    <cfRule type="colorScale" priority="136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90" priority="1361" operator="containsText" text="ALTO">
      <formula>NOT(ISERROR(SEARCH("ALTO",N79)))</formula>
    </cfRule>
  </conditionalFormatting>
  <conditionalFormatting sqref="N80">
    <cfRule type="containsText" dxfId="789" priority="1337" operator="containsText" text="MODERADO">
      <formula>NOT(ISERROR(SEARCH("MODERADO",N80)))</formula>
    </cfRule>
    <cfRule type="containsText" dxfId="788" priority="1338" operator="containsText" text="SANO">
      <formula>NOT(ISERROR(SEARCH("SANO",N80)))</formula>
    </cfRule>
    <cfRule type="containsText" dxfId="787" priority="1339" operator="containsText" text="ALTO">
      <formula>NOT(ISERROR(SEARCH("ALTO",N80)))</formula>
    </cfRule>
    <cfRule type="containsText" dxfId="786" priority="1340" operator="containsText" text="BAJO">
      <formula>NOT(ISERROR(SEARCH("BAJO",N80)))</formula>
    </cfRule>
    <cfRule type="containsText" dxfId="785" priority="1341" operator="containsText" text="FALTA">
      <formula>NOT(ISERROR(SEARCH("FALTA",N80)))</formula>
    </cfRule>
  </conditionalFormatting>
  <conditionalFormatting sqref="N80">
    <cfRule type="containsText" dxfId="784" priority="1336" operator="containsText" text="N/A">
      <formula>NOT(ISERROR(SEARCH("N/A",N80)))</formula>
    </cfRule>
  </conditionalFormatting>
  <conditionalFormatting sqref="N80">
    <cfRule type="containsText" dxfId="783" priority="1335" operator="containsText" text="MEDIO">
      <formula>NOT(ISERROR(SEARCH("MEDIO",N80)))</formula>
    </cfRule>
  </conditionalFormatting>
  <conditionalFormatting sqref="N80">
    <cfRule type="containsText" dxfId="782" priority="1334" operator="containsText" text="R. MODERADO">
      <formula>NOT(ISERROR(SEARCH("R. MODERADO",N80)))</formula>
    </cfRule>
  </conditionalFormatting>
  <conditionalFormatting sqref="N80">
    <cfRule type="containsText" dxfId="781" priority="1342" operator="containsText" text="BAJO">
      <formula>NOT(ISERROR(SEARCH("BAJO",N80)))</formula>
    </cfRule>
    <cfRule type="containsText" dxfId="780" priority="1343" operator="containsText" text="MODERADO">
      <formula>NOT(ISERROR(SEARCH("MODERADO",N80)))</formula>
    </cfRule>
    <cfRule type="containsText" dxfId="779" priority="1344" operator="containsText" text="SANO">
      <formula>NOT(ISERROR(SEARCH("SANO",N80)))</formula>
    </cfRule>
    <cfRule type="containsText" dxfId="778" priority="1345" operator="containsText" text="ALTO">
      <formula>NOT(ISERROR(SEARCH("ALTO",N80)))</formula>
    </cfRule>
    <cfRule type="colorScale" priority="134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77" priority="1347" operator="containsText" text="ALTO">
      <formula>NOT(ISERROR(SEARCH("ALTO",N80)))</formula>
    </cfRule>
  </conditionalFormatting>
  <conditionalFormatting sqref="L82:N82">
    <cfRule type="containsText" dxfId="776" priority="1315" operator="containsText" text="MEDIO">
      <formula>NOT(ISERROR(SEARCH("MEDIO",L82)))</formula>
    </cfRule>
    <cfRule type="containsText" dxfId="775" priority="1316" operator="containsText" text="VACACIONES">
      <formula>NOT(ISERROR(SEARCH("VACACIONES",L82)))</formula>
    </cfRule>
    <cfRule type="containsText" dxfId="774" priority="1317" operator="containsText" text="ALTO">
      <formula>NOT(ISERROR(SEARCH("ALTO",L82)))</formula>
    </cfRule>
    <cfRule type="containsText" dxfId="773" priority="1318" operator="containsText" text="NEDIO">
      <formula>NOT(ISERROR(SEARCH("NEDIO",L82)))</formula>
    </cfRule>
    <cfRule type="containsText" dxfId="772" priority="1319" operator="containsText" text="SANO">
      <formula>NOT(ISERROR(SEARCH("SANO",L82)))</formula>
    </cfRule>
  </conditionalFormatting>
  <conditionalFormatting sqref="L82:N82">
    <cfRule type="containsText" dxfId="771" priority="1314" operator="containsText" text="FALTA">
      <formula>NOT(ISERROR(SEARCH("FALTA",L82)))</formula>
    </cfRule>
  </conditionalFormatting>
  <conditionalFormatting sqref="L82:N82">
    <cfRule type="containsText" dxfId="770" priority="1303" operator="containsText" text="MODERADO">
      <formula>NOT(ISERROR(SEARCH("MODERADO",L82)))</formula>
    </cfRule>
    <cfRule type="containsText" dxfId="769" priority="1304" operator="containsText" text="SANO">
      <formula>NOT(ISERROR(SEARCH("SANO",L82)))</formula>
    </cfRule>
    <cfRule type="containsText" dxfId="768" priority="1305" operator="containsText" text="ALTO">
      <formula>NOT(ISERROR(SEARCH("ALTO",L82)))</formula>
    </cfRule>
    <cfRule type="containsText" dxfId="767" priority="1306" operator="containsText" text="BAJO">
      <formula>NOT(ISERROR(SEARCH("BAJO",L82)))</formula>
    </cfRule>
    <cfRule type="containsText" dxfId="766" priority="1307" operator="containsText" text="FALTA">
      <formula>NOT(ISERROR(SEARCH("FALTA",L82)))</formula>
    </cfRule>
  </conditionalFormatting>
  <conditionalFormatting sqref="L82:N82">
    <cfRule type="containsText" dxfId="765" priority="1302" operator="containsText" text="N/A">
      <formula>NOT(ISERROR(SEARCH("N/A",L82)))</formula>
    </cfRule>
  </conditionalFormatting>
  <conditionalFormatting sqref="L82:N82">
    <cfRule type="containsText" dxfId="764" priority="1301" operator="containsText" text="MEDIO">
      <formula>NOT(ISERROR(SEARCH("MEDIO",L82)))</formula>
    </cfRule>
  </conditionalFormatting>
  <conditionalFormatting sqref="L82:N82">
    <cfRule type="containsText" dxfId="763" priority="1308" operator="containsText" text="BAJO">
      <formula>NOT(ISERROR(SEARCH("BAJO",L82)))</formula>
    </cfRule>
    <cfRule type="containsText" dxfId="762" priority="1309" operator="containsText" text="MODERADO">
      <formula>NOT(ISERROR(SEARCH("MODERADO",L82)))</formula>
    </cfRule>
    <cfRule type="containsText" dxfId="761" priority="1310" operator="containsText" text="SANO">
      <formula>NOT(ISERROR(SEARCH("SANO",L82)))</formula>
    </cfRule>
    <cfRule type="containsText" dxfId="760" priority="1311" operator="containsText" text="ALTO">
      <formula>NOT(ISERROR(SEARCH("ALTO",L82)))</formula>
    </cfRule>
    <cfRule type="colorScale" priority="131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59" priority="1313" operator="containsText" text="ALTO">
      <formula>NOT(ISERROR(SEARCH("ALTO",L82)))</formula>
    </cfRule>
  </conditionalFormatting>
  <conditionalFormatting sqref="L82:N82">
    <cfRule type="containsText" dxfId="758" priority="1300" operator="containsText" text="R. MODERADO">
      <formula>NOT(ISERROR(SEARCH("R. MODERADO",L82)))</formula>
    </cfRule>
  </conditionalFormatting>
  <conditionalFormatting sqref="N93">
    <cfRule type="containsText" dxfId="757" priority="1279" operator="containsText" text="MEDIO">
      <formula>NOT(ISERROR(SEARCH("MEDIO",N93)))</formula>
    </cfRule>
  </conditionalFormatting>
  <conditionalFormatting sqref="N93 N84:N89">
    <cfRule type="containsText" dxfId="756" priority="1274" operator="containsText" text="MODERADO">
      <formula>NOT(ISERROR(SEARCH("MODERADO",N84)))</formula>
    </cfRule>
    <cfRule type="containsText" dxfId="755" priority="1275" operator="containsText" text="SANO">
      <formula>NOT(ISERROR(SEARCH("SANO",N84)))</formula>
    </cfRule>
    <cfRule type="containsText" dxfId="754" priority="1276" operator="containsText" text="ALTO">
      <formula>NOT(ISERROR(SEARCH("ALTO",N84)))</formula>
    </cfRule>
    <cfRule type="containsText" dxfId="753" priority="1277" operator="containsText" text="BAJO">
      <formula>NOT(ISERROR(SEARCH("BAJO",N84)))</formula>
    </cfRule>
    <cfRule type="containsText" dxfId="752" priority="1278" operator="containsText" text="FALTA">
      <formula>NOT(ISERROR(SEARCH("FALTA",N84)))</formula>
    </cfRule>
  </conditionalFormatting>
  <conditionalFormatting sqref="N93 N84:N89">
    <cfRule type="containsText" dxfId="751" priority="1273" operator="containsText" text="N/A">
      <formula>NOT(ISERROR(SEARCH("N/A",N84)))</formula>
    </cfRule>
  </conditionalFormatting>
  <conditionalFormatting sqref="N84:N89">
    <cfRule type="containsText" dxfId="750" priority="1272" operator="containsText" text="MEDIO">
      <formula>NOT(ISERROR(SEARCH("MEDIO",N84)))</formula>
    </cfRule>
  </conditionalFormatting>
  <conditionalFormatting sqref="N93 N84:N89">
    <cfRule type="containsText" dxfId="749" priority="1271" operator="containsText" text="R. MODERADO">
      <formula>NOT(ISERROR(SEARCH("R. MODERADO",N84)))</formula>
    </cfRule>
  </conditionalFormatting>
  <conditionalFormatting sqref="N90:N92">
    <cfRule type="containsText" dxfId="748" priority="1266" operator="containsText" text="MEDIO">
      <formula>NOT(ISERROR(SEARCH("MEDIO",N90)))</formula>
    </cfRule>
    <cfRule type="containsText" dxfId="747" priority="1267" operator="containsText" text="VACACIONES">
      <formula>NOT(ISERROR(SEARCH("VACACIONES",N90)))</formula>
    </cfRule>
    <cfRule type="containsText" dxfId="746" priority="1268" operator="containsText" text="ALTO">
      <formula>NOT(ISERROR(SEARCH("ALTO",N90)))</formula>
    </cfRule>
    <cfRule type="containsText" dxfId="745" priority="1269" operator="containsText" text="NEDIO">
      <formula>NOT(ISERROR(SEARCH("NEDIO",N90)))</formula>
    </cfRule>
    <cfRule type="containsText" dxfId="744" priority="1270" operator="containsText" text="SANO">
      <formula>NOT(ISERROR(SEARCH("SANO",N90)))</formula>
    </cfRule>
  </conditionalFormatting>
  <conditionalFormatting sqref="N90:N92">
    <cfRule type="containsText" dxfId="743" priority="1265" operator="containsText" text="FALTA">
      <formula>NOT(ISERROR(SEARCH("FALTA",N90)))</formula>
    </cfRule>
  </conditionalFormatting>
  <conditionalFormatting sqref="N90:N92">
    <cfRule type="containsText" dxfId="742" priority="1254" operator="containsText" text="MODERADO">
      <formula>NOT(ISERROR(SEARCH("MODERADO",N90)))</formula>
    </cfRule>
    <cfRule type="containsText" dxfId="741" priority="1255" operator="containsText" text="SANO">
      <formula>NOT(ISERROR(SEARCH("SANO",N90)))</formula>
    </cfRule>
    <cfRule type="containsText" dxfId="740" priority="1256" operator="containsText" text="ALTO">
      <formula>NOT(ISERROR(SEARCH("ALTO",N90)))</formula>
    </cfRule>
    <cfRule type="containsText" dxfId="739" priority="1257" operator="containsText" text="BAJO">
      <formula>NOT(ISERROR(SEARCH("BAJO",N90)))</formula>
    </cfRule>
    <cfRule type="containsText" dxfId="738" priority="1258" operator="containsText" text="FALTA">
      <formula>NOT(ISERROR(SEARCH("FALTA",N90)))</formula>
    </cfRule>
  </conditionalFormatting>
  <conditionalFormatting sqref="N90:N92">
    <cfRule type="containsText" dxfId="737" priority="1253" operator="containsText" text="N/A">
      <formula>NOT(ISERROR(SEARCH("N/A",N90)))</formula>
    </cfRule>
  </conditionalFormatting>
  <conditionalFormatting sqref="N90:N92">
    <cfRule type="containsText" dxfId="736" priority="1252" operator="containsText" text="MEDIO">
      <formula>NOT(ISERROR(SEARCH("MEDIO",N90)))</formula>
    </cfRule>
  </conditionalFormatting>
  <conditionalFormatting sqref="N90:N92">
    <cfRule type="containsText" dxfId="735" priority="1259" operator="containsText" text="BAJO">
      <formula>NOT(ISERROR(SEARCH("BAJO",N90)))</formula>
    </cfRule>
    <cfRule type="containsText" dxfId="734" priority="1260" operator="containsText" text="MODERADO">
      <formula>NOT(ISERROR(SEARCH("MODERADO",N90)))</formula>
    </cfRule>
    <cfRule type="containsText" dxfId="733" priority="1261" operator="containsText" text="SANO">
      <formula>NOT(ISERROR(SEARCH("SANO",N90)))</formula>
    </cfRule>
    <cfRule type="containsText" dxfId="732" priority="1262" operator="containsText" text="ALTO">
      <formula>NOT(ISERROR(SEARCH("ALTO",N90)))</formula>
    </cfRule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31" priority="1264" operator="containsText" text="ALTO">
      <formula>NOT(ISERROR(SEARCH("ALTO",N90)))</formula>
    </cfRule>
  </conditionalFormatting>
  <conditionalFormatting sqref="N90:N92">
    <cfRule type="containsText" dxfId="730" priority="1251" operator="containsText" text="R. MODERADO">
      <formula>NOT(ISERROR(SEARCH("R. MODERADO",N90)))</formula>
    </cfRule>
  </conditionalFormatting>
  <conditionalFormatting sqref="N84:N89 N93">
    <cfRule type="containsText" dxfId="729" priority="1280" operator="containsText" text="BAJO">
      <formula>NOT(ISERROR(SEARCH("BAJO",N84)))</formula>
    </cfRule>
    <cfRule type="containsText" dxfId="728" priority="1281" operator="containsText" text="MODERADO">
      <formula>NOT(ISERROR(SEARCH("MODERADO",N84)))</formula>
    </cfRule>
    <cfRule type="containsText" dxfId="727" priority="1282" operator="containsText" text="SANO">
      <formula>NOT(ISERROR(SEARCH("SANO",N84)))</formula>
    </cfRule>
    <cfRule type="containsText" dxfId="726" priority="1283" operator="containsText" text="ALTO">
      <formula>NOT(ISERROR(SEARCH("ALTO",N84)))</formula>
    </cfRule>
    <cfRule type="colorScale" priority="128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25" priority="1285" operator="containsText" text="ALTO">
      <formula>NOT(ISERROR(SEARCH("ALTO",N84)))</formula>
    </cfRule>
  </conditionalFormatting>
  <conditionalFormatting sqref="N94">
    <cfRule type="containsText" dxfId="724" priority="1244" operator="containsText" text="MEDIO">
      <formula>NOT(ISERROR(SEARCH("MEDIO",N94)))</formula>
    </cfRule>
  </conditionalFormatting>
  <conditionalFormatting sqref="N94">
    <cfRule type="containsText" dxfId="723" priority="1239" operator="containsText" text="MODERADO">
      <formula>NOT(ISERROR(SEARCH("MODERADO",N94)))</formula>
    </cfRule>
    <cfRule type="containsText" dxfId="722" priority="1240" operator="containsText" text="SANO">
      <formula>NOT(ISERROR(SEARCH("SANO",N94)))</formula>
    </cfRule>
    <cfRule type="containsText" dxfId="721" priority="1241" operator="containsText" text="ALTO">
      <formula>NOT(ISERROR(SEARCH("ALTO",N94)))</formula>
    </cfRule>
    <cfRule type="containsText" dxfId="720" priority="1242" operator="containsText" text="BAJO">
      <formula>NOT(ISERROR(SEARCH("BAJO",N94)))</formula>
    </cfRule>
    <cfRule type="containsText" dxfId="719" priority="1243" operator="containsText" text="FALTA">
      <formula>NOT(ISERROR(SEARCH("FALTA",N94)))</formula>
    </cfRule>
  </conditionalFormatting>
  <conditionalFormatting sqref="N94">
    <cfRule type="containsText" dxfId="718" priority="1238" operator="containsText" text="N/A">
      <formula>NOT(ISERROR(SEARCH("N/A",N94)))</formula>
    </cfRule>
  </conditionalFormatting>
  <conditionalFormatting sqref="N94">
    <cfRule type="containsText" dxfId="717" priority="1237" operator="containsText" text="R. MODERADO">
      <formula>NOT(ISERROR(SEARCH("R. MODERADO",N94)))</formula>
    </cfRule>
  </conditionalFormatting>
  <conditionalFormatting sqref="N94">
    <cfRule type="containsText" dxfId="716" priority="1245" operator="containsText" text="BAJO">
      <formula>NOT(ISERROR(SEARCH("BAJO",N94)))</formula>
    </cfRule>
    <cfRule type="containsText" dxfId="715" priority="1246" operator="containsText" text="MODERADO">
      <formula>NOT(ISERROR(SEARCH("MODERADO",N94)))</formula>
    </cfRule>
    <cfRule type="containsText" dxfId="714" priority="1247" operator="containsText" text="SANO">
      <formula>NOT(ISERROR(SEARCH("SANO",N94)))</formula>
    </cfRule>
    <cfRule type="containsText" dxfId="713" priority="1248" operator="containsText" text="ALTO">
      <formula>NOT(ISERROR(SEARCH("ALTO",N94)))</formula>
    </cfRule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12" priority="1250" operator="containsText" text="ALTO">
      <formula>NOT(ISERROR(SEARCH("ALTO",N94)))</formula>
    </cfRule>
  </conditionalFormatting>
  <conditionalFormatting sqref="N95">
    <cfRule type="containsText" dxfId="711" priority="1230" operator="containsText" text="MEDIO">
      <formula>NOT(ISERROR(SEARCH("MEDIO",N95)))</formula>
    </cfRule>
  </conditionalFormatting>
  <conditionalFormatting sqref="N95">
    <cfRule type="containsText" dxfId="710" priority="1225" operator="containsText" text="MODERADO">
      <formula>NOT(ISERROR(SEARCH("MODERADO",N95)))</formula>
    </cfRule>
    <cfRule type="containsText" dxfId="709" priority="1226" operator="containsText" text="SANO">
      <formula>NOT(ISERROR(SEARCH("SANO",N95)))</formula>
    </cfRule>
    <cfRule type="containsText" dxfId="708" priority="1227" operator="containsText" text="ALTO">
      <formula>NOT(ISERROR(SEARCH("ALTO",N95)))</formula>
    </cfRule>
    <cfRule type="containsText" dxfId="707" priority="1228" operator="containsText" text="BAJO">
      <formula>NOT(ISERROR(SEARCH("BAJO",N95)))</formula>
    </cfRule>
    <cfRule type="containsText" dxfId="706" priority="1229" operator="containsText" text="FALTA">
      <formula>NOT(ISERROR(SEARCH("FALTA",N95)))</formula>
    </cfRule>
  </conditionalFormatting>
  <conditionalFormatting sqref="N95">
    <cfRule type="containsText" dxfId="705" priority="1224" operator="containsText" text="N/A">
      <formula>NOT(ISERROR(SEARCH("N/A",N95)))</formula>
    </cfRule>
  </conditionalFormatting>
  <conditionalFormatting sqref="N95">
    <cfRule type="containsText" dxfId="704" priority="1223" operator="containsText" text="R. MODERADO">
      <formula>NOT(ISERROR(SEARCH("R. MODERADO",N95)))</formula>
    </cfRule>
  </conditionalFormatting>
  <conditionalFormatting sqref="N95">
    <cfRule type="containsText" dxfId="703" priority="1231" operator="containsText" text="BAJO">
      <formula>NOT(ISERROR(SEARCH("BAJO",N95)))</formula>
    </cfRule>
    <cfRule type="containsText" dxfId="702" priority="1232" operator="containsText" text="MODERADO">
      <formula>NOT(ISERROR(SEARCH("MODERADO",N95)))</formula>
    </cfRule>
    <cfRule type="containsText" dxfId="701" priority="1233" operator="containsText" text="SANO">
      <formula>NOT(ISERROR(SEARCH("SANO",N95)))</formula>
    </cfRule>
    <cfRule type="containsText" dxfId="700" priority="1234" operator="containsText" text="ALTO">
      <formula>NOT(ISERROR(SEARCH("ALTO",N95)))</formula>
    </cfRule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99" priority="1236" operator="containsText" text="ALTO">
      <formula>NOT(ISERROR(SEARCH("ALTO",N95)))</formula>
    </cfRule>
  </conditionalFormatting>
  <conditionalFormatting sqref="N96:N102">
    <cfRule type="containsText" dxfId="698" priority="1216" operator="containsText" text="MEDIO">
      <formula>NOT(ISERROR(SEARCH("MEDIO",N96)))</formula>
    </cfRule>
  </conditionalFormatting>
  <conditionalFormatting sqref="N96:N102">
    <cfRule type="containsText" dxfId="697" priority="1211" operator="containsText" text="MODERADO">
      <formula>NOT(ISERROR(SEARCH("MODERADO",N96)))</formula>
    </cfRule>
    <cfRule type="containsText" dxfId="696" priority="1212" operator="containsText" text="SANO">
      <formula>NOT(ISERROR(SEARCH("SANO",N96)))</formula>
    </cfRule>
    <cfRule type="containsText" dxfId="695" priority="1213" operator="containsText" text="ALTO">
      <formula>NOT(ISERROR(SEARCH("ALTO",N96)))</formula>
    </cfRule>
    <cfRule type="containsText" dxfId="694" priority="1214" operator="containsText" text="BAJO">
      <formula>NOT(ISERROR(SEARCH("BAJO",N96)))</formula>
    </cfRule>
    <cfRule type="containsText" dxfId="693" priority="1215" operator="containsText" text="FALTA">
      <formula>NOT(ISERROR(SEARCH("FALTA",N96)))</formula>
    </cfRule>
  </conditionalFormatting>
  <conditionalFormatting sqref="N96:N102">
    <cfRule type="containsText" dxfId="692" priority="1210" operator="containsText" text="N/A">
      <formula>NOT(ISERROR(SEARCH("N/A",N96)))</formula>
    </cfRule>
  </conditionalFormatting>
  <conditionalFormatting sqref="N96:N102">
    <cfRule type="containsText" dxfId="691" priority="1209" operator="containsText" text="R. MODERADO">
      <formula>NOT(ISERROR(SEARCH("R. MODERADO",N96)))</formula>
    </cfRule>
  </conditionalFormatting>
  <conditionalFormatting sqref="N96:N102">
    <cfRule type="containsText" dxfId="690" priority="1217" operator="containsText" text="BAJO">
      <formula>NOT(ISERROR(SEARCH("BAJO",N96)))</formula>
    </cfRule>
    <cfRule type="containsText" dxfId="689" priority="1218" operator="containsText" text="MODERADO">
      <formula>NOT(ISERROR(SEARCH("MODERADO",N96)))</formula>
    </cfRule>
    <cfRule type="containsText" dxfId="688" priority="1219" operator="containsText" text="SANO">
      <formula>NOT(ISERROR(SEARCH("SANO",N96)))</formula>
    </cfRule>
    <cfRule type="containsText" dxfId="687" priority="1220" operator="containsText" text="ALTO">
      <formula>NOT(ISERROR(SEARCH("ALTO",N96)))</formula>
    </cfRule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86" priority="1222" operator="containsText" text="ALTO">
      <formula>NOT(ISERROR(SEARCH("ALTO",N96)))</formula>
    </cfRule>
  </conditionalFormatting>
  <conditionalFormatting sqref="N103">
    <cfRule type="containsText" dxfId="685" priority="1202" operator="containsText" text="MEDIO">
      <formula>NOT(ISERROR(SEARCH("MEDIO",N103)))</formula>
    </cfRule>
  </conditionalFormatting>
  <conditionalFormatting sqref="N103">
    <cfRule type="containsText" dxfId="684" priority="1197" operator="containsText" text="MODERADO">
      <formula>NOT(ISERROR(SEARCH("MODERADO",N103)))</formula>
    </cfRule>
    <cfRule type="containsText" dxfId="683" priority="1198" operator="containsText" text="SANO">
      <formula>NOT(ISERROR(SEARCH("SANO",N103)))</formula>
    </cfRule>
    <cfRule type="containsText" dxfId="682" priority="1199" operator="containsText" text="ALTO">
      <formula>NOT(ISERROR(SEARCH("ALTO",N103)))</formula>
    </cfRule>
    <cfRule type="containsText" dxfId="681" priority="1200" operator="containsText" text="BAJO">
      <formula>NOT(ISERROR(SEARCH("BAJO",N103)))</formula>
    </cfRule>
    <cfRule type="containsText" dxfId="680" priority="1201" operator="containsText" text="FALTA">
      <formula>NOT(ISERROR(SEARCH("FALTA",N103)))</formula>
    </cfRule>
  </conditionalFormatting>
  <conditionalFormatting sqref="N103">
    <cfRule type="containsText" dxfId="679" priority="1196" operator="containsText" text="N/A">
      <formula>NOT(ISERROR(SEARCH("N/A",N103)))</formula>
    </cfRule>
  </conditionalFormatting>
  <conditionalFormatting sqref="N103">
    <cfRule type="containsText" dxfId="678" priority="1195" operator="containsText" text="R. MODERADO">
      <formula>NOT(ISERROR(SEARCH("R. MODERADO",N103)))</formula>
    </cfRule>
  </conditionalFormatting>
  <conditionalFormatting sqref="N107">
    <cfRule type="containsText" dxfId="677" priority="1174" operator="containsText" text="MEDIO">
      <formula>NOT(ISERROR(SEARCH("MEDIO",N107)))</formula>
    </cfRule>
  </conditionalFormatting>
  <conditionalFormatting sqref="N107">
    <cfRule type="containsText" dxfId="676" priority="1169" operator="containsText" text="MODERADO">
      <formula>NOT(ISERROR(SEARCH("MODERADO",N107)))</formula>
    </cfRule>
    <cfRule type="containsText" dxfId="675" priority="1170" operator="containsText" text="SANO">
      <formula>NOT(ISERROR(SEARCH("SANO",N107)))</formula>
    </cfRule>
    <cfRule type="containsText" dxfId="674" priority="1171" operator="containsText" text="ALTO">
      <formula>NOT(ISERROR(SEARCH("ALTO",N107)))</formula>
    </cfRule>
    <cfRule type="containsText" dxfId="673" priority="1172" operator="containsText" text="BAJO">
      <formula>NOT(ISERROR(SEARCH("BAJO",N107)))</formula>
    </cfRule>
    <cfRule type="containsText" dxfId="672" priority="1173" operator="containsText" text="FALTA">
      <formula>NOT(ISERROR(SEARCH("FALTA",N107)))</formula>
    </cfRule>
  </conditionalFormatting>
  <conditionalFormatting sqref="N107">
    <cfRule type="containsText" dxfId="671" priority="1168" operator="containsText" text="N/A">
      <formula>NOT(ISERROR(SEARCH("N/A",N107)))</formula>
    </cfRule>
  </conditionalFormatting>
  <conditionalFormatting sqref="N107">
    <cfRule type="containsText" dxfId="670" priority="1167" operator="containsText" text="R. MODERADO">
      <formula>NOT(ISERROR(SEARCH("R. MODERADO",N107)))</formula>
    </cfRule>
  </conditionalFormatting>
  <conditionalFormatting sqref="N107">
    <cfRule type="containsText" dxfId="669" priority="1175" operator="containsText" text="BAJO">
      <formula>NOT(ISERROR(SEARCH("BAJO",N107)))</formula>
    </cfRule>
    <cfRule type="containsText" dxfId="668" priority="1176" operator="containsText" text="MODERADO">
      <formula>NOT(ISERROR(SEARCH("MODERADO",N107)))</formula>
    </cfRule>
    <cfRule type="containsText" dxfId="667" priority="1177" operator="containsText" text="SANO">
      <formula>NOT(ISERROR(SEARCH("SANO",N107)))</formula>
    </cfRule>
    <cfRule type="containsText" dxfId="666" priority="1178" operator="containsText" text="ALTO">
      <formula>NOT(ISERROR(SEARCH("ALTO",N107)))</formula>
    </cfRule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65" priority="1180" operator="containsText" text="ALTO">
      <formula>NOT(ISERROR(SEARCH("ALTO",N107)))</formula>
    </cfRule>
  </conditionalFormatting>
  <conditionalFormatting sqref="N115">
    <cfRule type="containsText" dxfId="664" priority="1146" operator="containsText" text="MEDIO">
      <formula>NOT(ISERROR(SEARCH("MEDIO",N115)))</formula>
    </cfRule>
  </conditionalFormatting>
  <conditionalFormatting sqref="N115">
    <cfRule type="containsText" dxfId="663" priority="1141" operator="containsText" text="MODERADO">
      <formula>NOT(ISERROR(SEARCH("MODERADO",N115)))</formula>
    </cfRule>
    <cfRule type="containsText" dxfId="662" priority="1142" operator="containsText" text="SANO">
      <formula>NOT(ISERROR(SEARCH("SANO",N115)))</formula>
    </cfRule>
    <cfRule type="containsText" dxfId="661" priority="1143" operator="containsText" text="ALTO">
      <formula>NOT(ISERROR(SEARCH("ALTO",N115)))</formula>
    </cfRule>
    <cfRule type="containsText" dxfId="660" priority="1144" operator="containsText" text="BAJO">
      <formula>NOT(ISERROR(SEARCH("BAJO",N115)))</formula>
    </cfRule>
    <cfRule type="containsText" dxfId="659" priority="1145" operator="containsText" text="FALTA">
      <formula>NOT(ISERROR(SEARCH("FALTA",N115)))</formula>
    </cfRule>
  </conditionalFormatting>
  <conditionalFormatting sqref="N115">
    <cfRule type="containsText" dxfId="658" priority="1140" operator="containsText" text="N/A">
      <formula>NOT(ISERROR(SEARCH("N/A",N115)))</formula>
    </cfRule>
  </conditionalFormatting>
  <conditionalFormatting sqref="N115">
    <cfRule type="containsText" dxfId="657" priority="1139" operator="containsText" text="R. MODERADO">
      <formula>NOT(ISERROR(SEARCH("R. MODERADO",N115)))</formula>
    </cfRule>
  </conditionalFormatting>
  <conditionalFormatting sqref="N115">
    <cfRule type="containsText" dxfId="656" priority="1147" operator="containsText" text="BAJO">
      <formula>NOT(ISERROR(SEARCH("BAJO",N115)))</formula>
    </cfRule>
    <cfRule type="containsText" dxfId="655" priority="1148" operator="containsText" text="MODERADO">
      <formula>NOT(ISERROR(SEARCH("MODERADO",N115)))</formula>
    </cfRule>
    <cfRule type="containsText" dxfId="654" priority="1149" operator="containsText" text="SANO">
      <formula>NOT(ISERROR(SEARCH("SANO",N115)))</formula>
    </cfRule>
    <cfRule type="containsText" dxfId="653" priority="1150" operator="containsText" text="ALTO">
      <formula>NOT(ISERROR(SEARCH("ALTO",N115)))</formula>
    </cfRule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52" priority="1152" operator="containsText" text="ALTO">
      <formula>NOT(ISERROR(SEARCH("ALTO",N115)))</formula>
    </cfRule>
  </conditionalFormatting>
  <conditionalFormatting sqref="N122">
    <cfRule type="containsText" dxfId="651" priority="1118" operator="containsText" text="MEDIO">
      <formula>NOT(ISERROR(SEARCH("MEDIO",N122)))</formula>
    </cfRule>
  </conditionalFormatting>
  <conditionalFormatting sqref="N122">
    <cfRule type="containsText" dxfId="650" priority="1113" operator="containsText" text="MODERADO">
      <formula>NOT(ISERROR(SEARCH("MODERADO",N122)))</formula>
    </cfRule>
    <cfRule type="containsText" dxfId="649" priority="1114" operator="containsText" text="SANO">
      <formula>NOT(ISERROR(SEARCH("SANO",N122)))</formula>
    </cfRule>
    <cfRule type="containsText" dxfId="648" priority="1115" operator="containsText" text="ALTO">
      <formula>NOT(ISERROR(SEARCH("ALTO",N122)))</formula>
    </cfRule>
    <cfRule type="containsText" dxfId="647" priority="1116" operator="containsText" text="BAJO">
      <formula>NOT(ISERROR(SEARCH("BAJO",N122)))</formula>
    </cfRule>
    <cfRule type="containsText" dxfId="646" priority="1117" operator="containsText" text="FALTA">
      <formula>NOT(ISERROR(SEARCH("FALTA",N122)))</formula>
    </cfRule>
  </conditionalFormatting>
  <conditionalFormatting sqref="N122">
    <cfRule type="containsText" dxfId="645" priority="1112" operator="containsText" text="N/A">
      <formula>NOT(ISERROR(SEARCH("N/A",N122)))</formula>
    </cfRule>
  </conditionalFormatting>
  <conditionalFormatting sqref="N122">
    <cfRule type="containsText" dxfId="644" priority="1111" operator="containsText" text="R. MODERADO">
      <formula>NOT(ISERROR(SEARCH("R. MODERADO",N122)))</formula>
    </cfRule>
  </conditionalFormatting>
  <conditionalFormatting sqref="N124">
    <cfRule type="containsText" dxfId="643" priority="1086" operator="containsText" text="MODERADO">
      <formula>NOT(ISERROR(SEARCH("MODERADO",N124)))</formula>
    </cfRule>
    <cfRule type="containsText" dxfId="642" priority="1087" operator="containsText" text="SANO">
      <formula>NOT(ISERROR(SEARCH("SANO",N124)))</formula>
    </cfRule>
    <cfRule type="containsText" dxfId="641" priority="1088" operator="containsText" text="ALTO">
      <formula>NOT(ISERROR(SEARCH("ALTO",N124)))</formula>
    </cfRule>
    <cfRule type="containsText" dxfId="640" priority="1089" operator="containsText" text="BAJO">
      <formula>NOT(ISERROR(SEARCH("BAJO",N124)))</formula>
    </cfRule>
    <cfRule type="containsText" dxfId="639" priority="1090" operator="containsText" text="FALTA">
      <formula>NOT(ISERROR(SEARCH("FALTA",N124)))</formula>
    </cfRule>
  </conditionalFormatting>
  <conditionalFormatting sqref="N124">
    <cfRule type="containsText" dxfId="638" priority="1085" operator="containsText" text="N/A">
      <formula>NOT(ISERROR(SEARCH("N/A",N124)))</formula>
    </cfRule>
  </conditionalFormatting>
  <conditionalFormatting sqref="N124">
    <cfRule type="containsText" dxfId="637" priority="1084" operator="containsText" text="MEDIO">
      <formula>NOT(ISERROR(SEARCH("MEDIO",N124)))</formula>
    </cfRule>
  </conditionalFormatting>
  <conditionalFormatting sqref="N124">
    <cfRule type="containsText" dxfId="636" priority="1091" operator="containsText" text="BAJO">
      <formula>NOT(ISERROR(SEARCH("BAJO",N124)))</formula>
    </cfRule>
    <cfRule type="containsText" dxfId="635" priority="1092" operator="containsText" text="MODERADO">
      <formula>NOT(ISERROR(SEARCH("MODERADO",N124)))</formula>
    </cfRule>
    <cfRule type="containsText" dxfId="634" priority="1093" operator="containsText" text="SANO">
      <formula>NOT(ISERROR(SEARCH("SANO",N124)))</formula>
    </cfRule>
    <cfRule type="containsText" dxfId="633" priority="1094" operator="containsText" text="ALTO">
      <formula>NOT(ISERROR(SEARCH("ALTO",N124)))</formula>
    </cfRule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32" priority="1096" operator="containsText" text="ALTO">
      <formula>NOT(ISERROR(SEARCH("ALTO",N124)))</formula>
    </cfRule>
  </conditionalFormatting>
  <conditionalFormatting sqref="N124">
    <cfRule type="containsText" dxfId="631" priority="1083" operator="containsText" text="R. MODERADO">
      <formula>NOT(ISERROR(SEARCH("R. MODERADO",N124)))</formula>
    </cfRule>
  </conditionalFormatting>
  <conditionalFormatting sqref="N125:N128">
    <cfRule type="containsText" dxfId="630" priority="1076" operator="containsText" text="MEDIO">
      <formula>NOT(ISERROR(SEARCH("MEDIO",N125)))</formula>
    </cfRule>
  </conditionalFormatting>
  <conditionalFormatting sqref="N125:N128">
    <cfRule type="containsText" dxfId="629" priority="1066" operator="containsText" text="MODERADO">
      <formula>NOT(ISERROR(SEARCH("MODERADO",N125)))</formula>
    </cfRule>
    <cfRule type="containsText" dxfId="628" priority="1067" operator="containsText" text="SANO">
      <formula>NOT(ISERROR(SEARCH("SANO",N125)))</formula>
    </cfRule>
    <cfRule type="containsText" dxfId="627" priority="1068" operator="containsText" text="ALTO">
      <formula>NOT(ISERROR(SEARCH("ALTO",N125)))</formula>
    </cfRule>
    <cfRule type="containsText" dxfId="626" priority="1069" operator="containsText" text="BAJO">
      <formula>NOT(ISERROR(SEARCH("BAJO",N125)))</formula>
    </cfRule>
    <cfRule type="containsText" dxfId="625" priority="1070" operator="containsText" text="FALTA">
      <formula>NOT(ISERROR(SEARCH("FALTA",N125)))</formula>
    </cfRule>
  </conditionalFormatting>
  <conditionalFormatting sqref="N125:N128">
    <cfRule type="containsText" dxfId="624" priority="1065" operator="containsText" text="N/A">
      <formula>NOT(ISERROR(SEARCH("N/A",N125)))</formula>
    </cfRule>
  </conditionalFormatting>
  <conditionalFormatting sqref="N141">
    <cfRule type="containsText" dxfId="623" priority="1027" operator="containsText" text="MODERADO">
      <formula>NOT(ISERROR(SEARCH("MODERADO",N141)))</formula>
    </cfRule>
    <cfRule type="containsText" dxfId="622" priority="1028" operator="containsText" text="SANO">
      <formula>NOT(ISERROR(SEARCH("SANO",N141)))</formula>
    </cfRule>
    <cfRule type="containsText" dxfId="621" priority="1029" operator="containsText" text="ALTO">
      <formula>NOT(ISERROR(SEARCH("ALTO",N141)))</formula>
    </cfRule>
    <cfRule type="containsText" dxfId="620" priority="1030" operator="containsText" text="BAJO">
      <formula>NOT(ISERROR(SEARCH("BAJO",N141)))</formula>
    </cfRule>
    <cfRule type="containsText" dxfId="619" priority="1031" operator="containsText" text="FALTA">
      <formula>NOT(ISERROR(SEARCH("FALTA",N141)))</formula>
    </cfRule>
  </conditionalFormatting>
  <conditionalFormatting sqref="N141">
    <cfRule type="containsText" dxfId="618" priority="1026" operator="containsText" text="N/A">
      <formula>NOT(ISERROR(SEARCH("N/A",N141)))</formula>
    </cfRule>
  </conditionalFormatting>
  <conditionalFormatting sqref="N141">
    <cfRule type="containsText" dxfId="617" priority="1025" operator="containsText" text="MEDIO">
      <formula>NOT(ISERROR(SEARCH("MEDIO",N141)))</formula>
    </cfRule>
  </conditionalFormatting>
  <conditionalFormatting sqref="N141">
    <cfRule type="containsText" dxfId="616" priority="1032" operator="containsText" text="BAJO">
      <formula>NOT(ISERROR(SEARCH("BAJO",N141)))</formula>
    </cfRule>
    <cfRule type="containsText" dxfId="615" priority="1033" operator="containsText" text="MODERADO">
      <formula>NOT(ISERROR(SEARCH("MODERADO",N141)))</formula>
    </cfRule>
    <cfRule type="containsText" dxfId="614" priority="1034" operator="containsText" text="SANO">
      <formula>NOT(ISERROR(SEARCH("SANO",N141)))</formula>
    </cfRule>
    <cfRule type="containsText" dxfId="613" priority="1035" operator="containsText" text="ALTO">
      <formula>NOT(ISERROR(SEARCH("ALTO",N141)))</formula>
    </cfRule>
    <cfRule type="colorScale" priority="103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12" priority="1037" operator="containsText" text="ALTO">
      <formula>NOT(ISERROR(SEARCH("ALTO",N141)))</formula>
    </cfRule>
  </conditionalFormatting>
  <conditionalFormatting sqref="N141">
    <cfRule type="containsText" dxfId="611" priority="1024" operator="containsText" text="R. MODERADO">
      <formula>NOT(ISERROR(SEARCH("R. MODERADO",N141)))</formula>
    </cfRule>
  </conditionalFormatting>
  <conditionalFormatting sqref="O1:O26 O28:O82 O84:O129 O140:O1048576">
    <cfRule type="containsText" dxfId="610" priority="1016" operator="containsText" text="N/A">
      <formula>NOT(ISERROR(SEARCH("N/A",O1)))</formula>
    </cfRule>
    <cfRule type="containsText" dxfId="609" priority="1021" operator="containsText" text="HEMOGLOBINA GLUCOSILADA">
      <formula>NOT(ISERROR(SEARCH("HEMOGLOBINA GLUCOSILADA",O1)))</formula>
    </cfRule>
    <cfRule type="containsText" dxfId="608" priority="1023" operator="containsText" text="HEMOGLOBINA GLUCOSILADA + QS">
      <formula>NOT(ISERROR(SEARCH("HEMOGLOBINA GLUCOSILADA + QS",O1)))</formula>
    </cfRule>
  </conditionalFormatting>
  <conditionalFormatting sqref="Q1:Q24 Q27:Q82 Q84:Q129 Q140:Q1048576">
    <cfRule type="containsText" dxfId="607" priority="1014" operator="containsText" text="N/A">
      <formula>NOT(ISERROR(SEARCH("N/A",Q1)))</formula>
    </cfRule>
    <cfRule type="containsText" dxfId="606" priority="1017" operator="containsText" text="NO AYUNO">
      <formula>NOT(ISERROR(SEARCH("NO AYUNO",Q1)))</formula>
    </cfRule>
    <cfRule type="containsText" dxfId="605" priority="1018" operator="containsText" text="AYUNO">
      <formula>NOT(ISERROR(SEARCH("AYUNO",Q1)))</formula>
    </cfRule>
    <cfRule type="containsText" dxfId="604" priority="1022" operator="containsText" text="QUIMICA SANGUINEA">
      <formula>NOT(ISERROR(SEARCH("QUIMICA SANGUINEA",Q1)))</formula>
    </cfRule>
  </conditionalFormatting>
  <conditionalFormatting sqref="S1:S82 S84:S129 S140:S1048576">
    <cfRule type="containsText" dxfId="603" priority="1013" operator="containsText" text="N/A">
      <formula>NOT(ISERROR(SEARCH("N/A",S1)))</formula>
    </cfRule>
    <cfRule type="containsText" dxfId="602" priority="1019" operator="containsText" text="NO AYUNO">
      <formula>NOT(ISERROR(SEARCH("NO AYUNO",S1)))</formula>
    </cfRule>
    <cfRule type="containsText" dxfId="601" priority="1020" operator="containsText" text="AYUNO">
      <formula>NOT(ISERROR(SEARCH("AYUNO",S1)))</formula>
    </cfRule>
  </conditionalFormatting>
  <conditionalFormatting sqref="M1:M82 M84:M128 M139:M1048576">
    <cfRule type="containsText" dxfId="600" priority="1008" operator="containsText" text="NO AYUNO">
      <formula>NOT(ISERROR(SEARCH("NO AYUNO",M1)))</formula>
    </cfRule>
    <cfRule type="containsText" dxfId="599" priority="1009" operator="containsText" text="AYUNO">
      <formula>NOT(ISERROR(SEARCH("AYUNO",M1)))</formula>
    </cfRule>
    <cfRule type="containsText" dxfId="598" priority="1012" operator="containsText" text="QUIMICA SANGUINEA">
      <formula>NOT(ISERROR(SEARCH("QUIMICA SANGUINEA",M1)))</formula>
    </cfRule>
    <cfRule type="containsText" dxfId="597" priority="1015" operator="containsText" text="N/A">
      <formula>NOT(ISERROR(SEARCH("N/A",M1)))</formula>
    </cfRule>
  </conditionalFormatting>
  <conditionalFormatting sqref="O27">
    <cfRule type="containsText" dxfId="596" priority="1010" operator="containsText" text="QUIMICA SANGUINEA">
      <formula>NOT(ISERROR(SEARCH("QUIMICA SANGUINEA",O27)))</formula>
    </cfRule>
    <cfRule type="containsText" dxfId="595" priority="1011" operator="containsText" text="N/A">
      <formula>NOT(ISERROR(SEARCH("N/A",O27)))</formula>
    </cfRule>
  </conditionalFormatting>
  <conditionalFormatting sqref="N6:N11">
    <cfRule type="containsText" dxfId="594" priority="64520" operator="containsText" text="BAJO">
      <formula>NOT(ISERROR(SEARCH("BAJO",N6)))</formula>
    </cfRule>
    <cfRule type="containsText" dxfId="593" priority="64521" operator="containsText" text="MODERADO">
      <formula>NOT(ISERROR(SEARCH("MODERADO",N6)))</formula>
    </cfRule>
    <cfRule type="containsText" dxfId="592" priority="64522" operator="containsText" text="SANO">
      <formula>NOT(ISERROR(SEARCH("SANO",N6)))</formula>
    </cfRule>
    <cfRule type="containsText" dxfId="591" priority="64523" operator="containsText" text="ALTO">
      <formula>NOT(ISERROR(SEARCH("ALTO",N6)))</formula>
    </cfRule>
    <cfRule type="colorScale" priority="6452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90" priority="64525" operator="containsText" text="ALTO">
      <formula>NOT(ISERROR(SEARCH("ALTO",N6)))</formula>
    </cfRule>
  </conditionalFormatting>
  <conditionalFormatting sqref="N122">
    <cfRule type="containsText" dxfId="589" priority="64881" operator="containsText" text="BAJO">
      <formula>NOT(ISERROR(SEARCH("BAJO",N122)))</formula>
    </cfRule>
    <cfRule type="containsText" dxfId="588" priority="64882" operator="containsText" text="MODERADO">
      <formula>NOT(ISERROR(SEARCH("MODERADO",N122)))</formula>
    </cfRule>
    <cfRule type="containsText" dxfId="587" priority="64883" operator="containsText" text="SANO">
      <formula>NOT(ISERROR(SEARCH("SANO",N122)))</formula>
    </cfRule>
    <cfRule type="containsText" dxfId="586" priority="64884" operator="containsText" text="ALTO">
      <formula>NOT(ISERROR(SEARCH("ALTO",N122)))</formula>
    </cfRule>
    <cfRule type="colorScale" priority="6488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85" priority="64886" operator="containsText" text="ALTO">
      <formula>NOT(ISERROR(SEARCH("ALTO",N122)))</formula>
    </cfRule>
  </conditionalFormatting>
  <conditionalFormatting sqref="N123">
    <cfRule type="containsText" dxfId="584" priority="64895" operator="containsText" text="BAJO">
      <formula>NOT(ISERROR(SEARCH("BAJO",N123)))</formula>
    </cfRule>
    <cfRule type="containsText" dxfId="583" priority="64896" operator="containsText" text="MODERADO">
      <formula>NOT(ISERROR(SEARCH("MODERADO",N123)))</formula>
    </cfRule>
    <cfRule type="containsText" dxfId="582" priority="64897" operator="containsText" text="SANO">
      <formula>NOT(ISERROR(SEARCH("SANO",N123)))</formula>
    </cfRule>
    <cfRule type="containsText" dxfId="581" priority="64898" operator="containsText" text="ALTO">
      <formula>NOT(ISERROR(SEARCH("ALTO",N123)))</formula>
    </cfRule>
    <cfRule type="colorScale" priority="6489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80" priority="64900" operator="containsText" text="ALTO">
      <formula>NOT(ISERROR(SEARCH("ALTO",N123)))</formula>
    </cfRule>
  </conditionalFormatting>
  <conditionalFormatting sqref="Q25:Q26">
    <cfRule type="containsText" dxfId="579" priority="869" operator="containsText" text="QUIMICA SANGUINEA">
      <formula>NOT(ISERROR(SEARCH("QUIMICA SANGUINEA",Q25)))</formula>
    </cfRule>
    <cfRule type="containsText" dxfId="578" priority="870" operator="containsText" text="QUIMICA SANGUINEA + HEMOGLOBINA GLICOSILADA">
      <formula>NOT(ISERROR(SEARCH("QUIMICA SANGUINEA + HEMOGLOBINA GLICOSILADA",Q25)))</formula>
    </cfRule>
    <cfRule type="containsText" dxfId="577" priority="871" operator="containsText" text="QUIMICA SANGUINEA">
      <formula>NOT(ISERROR(SEARCH("QUIMICA SANGUINEA",Q25)))</formula>
    </cfRule>
    <cfRule type="containsText" priority="872" operator="containsText" text="QUIMICA SANGUINEA">
      <formula>NOT(ISERROR(SEARCH("QUIMICA SANGUINEA",Q25)))</formula>
    </cfRule>
    <cfRule type="containsText" dxfId="576" priority="873" operator="containsText" text="HEMOGLOBINA GLICOSILADA">
      <formula>NOT(ISERROR(SEARCH("HEMOGLOBINA GLICOSILADA",Q25)))</formula>
    </cfRule>
    <cfRule type="containsText" dxfId="575" priority="874" operator="containsText" text="NO AYUNO">
      <formula>NOT(ISERROR(SEARCH("NO AYUNO",Q25)))</formula>
    </cfRule>
    <cfRule type="containsText" dxfId="574" priority="875" operator="containsText" text="AYUNO">
      <formula>NOT(ISERROR(SEARCH("AYUNO",Q25)))</formula>
    </cfRule>
  </conditionalFormatting>
  <conditionalFormatting sqref="Q25:Q26">
    <cfRule type="containsText" dxfId="573" priority="866" operator="containsText" text="N/A">
      <formula>NOT(ISERROR(SEARCH("N/A",Q25)))</formula>
    </cfRule>
    <cfRule type="containsText" dxfId="572" priority="867" operator="containsText" text="HEMOGLOBINA GLUCOSILADA">
      <formula>NOT(ISERROR(SEARCH("HEMOGLOBINA GLUCOSILADA",Q25)))</formula>
    </cfRule>
    <cfRule type="containsText" dxfId="571" priority="868" operator="containsText" text="HEMOGLOBINA GLUCOSILADA + QS">
      <formula>NOT(ISERROR(SEARCH("HEMOGLOBINA GLUCOSILADA + QS",Q25)))</formula>
    </cfRule>
  </conditionalFormatting>
  <conditionalFormatting sqref="T4:T82 P4:P82 R4:R82 V4:V82 V84:V129 R84:R129 P84:P129 T84:T129 T140:T141 P140:P141 R140:R141 V140:V141 F4:F130">
    <cfRule type="containsText" dxfId="570" priority="804" operator="containsText" text="FALTA">
      <formula>NOT(ISERROR(SEARCH("FALTA",F4)))</formula>
    </cfRule>
    <cfRule type="containsText" dxfId="569" priority="805" operator="containsText" text="R. ALTO">
      <formula>NOT(ISERROR(SEARCH("R. ALTO",F4)))</formula>
    </cfRule>
    <cfRule type="containsText" dxfId="568" priority="806" operator="containsText" text="SANO">
      <formula>NOT(ISERROR(SEARCH("SANO",F4)))</formula>
    </cfRule>
  </conditionalFormatting>
  <conditionalFormatting sqref="T78">
    <cfRule type="containsText" dxfId="567" priority="742" operator="containsText" text="MODERADO">
      <formula>NOT(ISERROR(SEARCH("MODERADO",T78)))</formula>
    </cfRule>
    <cfRule type="containsText" dxfId="566" priority="743" operator="containsText" text="SANO">
      <formula>NOT(ISERROR(SEARCH("SANO",T78)))</formula>
    </cfRule>
    <cfRule type="containsText" dxfId="565" priority="744" operator="containsText" text="ALTO">
      <formula>NOT(ISERROR(SEARCH("ALTO",T78)))</formula>
    </cfRule>
    <cfRule type="containsText" dxfId="564" priority="745" operator="containsText" text="BAJO">
      <formula>NOT(ISERROR(SEARCH("BAJO",T78)))</formula>
    </cfRule>
    <cfRule type="containsText" dxfId="563" priority="746" operator="containsText" text="FALTA">
      <formula>NOT(ISERROR(SEARCH("FALTA",T78)))</formula>
    </cfRule>
  </conditionalFormatting>
  <conditionalFormatting sqref="T78">
    <cfRule type="containsText" dxfId="562" priority="741" operator="containsText" text="N/A">
      <formula>NOT(ISERROR(SEARCH("N/A",T78)))</formula>
    </cfRule>
  </conditionalFormatting>
  <conditionalFormatting sqref="T78">
    <cfRule type="containsText" dxfId="561" priority="740" operator="containsText" text="MEDIO">
      <formula>NOT(ISERROR(SEARCH("MEDIO",T78)))</formula>
    </cfRule>
  </conditionalFormatting>
  <conditionalFormatting sqref="T78">
    <cfRule type="containsText" dxfId="560" priority="739" operator="containsText" text="R. MODERADO">
      <formula>NOT(ISERROR(SEARCH("R. MODERADO",T78)))</formula>
    </cfRule>
  </conditionalFormatting>
  <conditionalFormatting sqref="T78">
    <cfRule type="containsText" dxfId="559" priority="733" operator="containsText" text="BAJO">
      <formula>NOT(ISERROR(SEARCH("BAJO",T78)))</formula>
    </cfRule>
    <cfRule type="containsText" dxfId="558" priority="734" operator="containsText" text="MODERADO">
      <formula>NOT(ISERROR(SEARCH("MODERADO",T78)))</formula>
    </cfRule>
    <cfRule type="containsText" dxfId="557" priority="735" operator="containsText" text="SANO">
      <formula>NOT(ISERROR(SEARCH("SANO",T78)))</formula>
    </cfRule>
    <cfRule type="containsText" dxfId="556" priority="736" operator="containsText" text="ALTO">
      <formula>NOT(ISERROR(SEARCH("ALTO",T78)))</formula>
    </cfRule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55" priority="738" operator="containsText" text="ALTO">
      <formula>NOT(ISERROR(SEARCH("ALTO",T78)))</formula>
    </cfRule>
  </conditionalFormatting>
  <conditionalFormatting sqref="L35">
    <cfRule type="containsText" dxfId="554" priority="70784" operator="containsText" text="BAJO">
      <formula>NOT(ISERROR(SEARCH("BAJO",L35)))</formula>
    </cfRule>
    <cfRule type="containsText" dxfId="553" priority="70785" operator="containsText" text="MODERADO">
      <formula>NOT(ISERROR(SEARCH("MODERADO",L35)))</formula>
    </cfRule>
    <cfRule type="containsText" dxfId="552" priority="70786" operator="containsText" text="SANO">
      <formula>NOT(ISERROR(SEARCH("SANO",L35)))</formula>
    </cfRule>
    <cfRule type="containsText" dxfId="551" priority="70787" operator="containsText" text="ALTO">
      <formula>NOT(ISERROR(SEARCH("ALTO",L35)))</formula>
    </cfRule>
    <cfRule type="colorScale" priority="7078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50" priority="70789" operator="containsText" text="ALTO">
      <formula>NOT(ISERROR(SEARCH("ALTO",L35)))</formula>
    </cfRule>
  </conditionalFormatting>
  <conditionalFormatting sqref="P79">
    <cfRule type="containsText" dxfId="549" priority="663" operator="containsText" text="MODERADO">
      <formula>NOT(ISERROR(SEARCH("MODERADO",P79)))</formula>
    </cfRule>
    <cfRule type="containsText" dxfId="548" priority="664" operator="containsText" text="SANO">
      <formula>NOT(ISERROR(SEARCH("SANO",P79)))</formula>
    </cfRule>
    <cfRule type="containsText" dxfId="547" priority="665" operator="containsText" text="ALTO">
      <formula>NOT(ISERROR(SEARCH("ALTO",P79)))</formula>
    </cfRule>
    <cfRule type="containsText" dxfId="546" priority="666" operator="containsText" text="BAJO">
      <formula>NOT(ISERROR(SEARCH("BAJO",P79)))</formula>
    </cfRule>
    <cfRule type="containsText" dxfId="545" priority="667" operator="containsText" text="FALTA">
      <formula>NOT(ISERROR(SEARCH("FALTA",P79)))</formula>
    </cfRule>
  </conditionalFormatting>
  <conditionalFormatting sqref="P79">
    <cfRule type="containsText" dxfId="544" priority="662" operator="containsText" text="N/A">
      <formula>NOT(ISERROR(SEARCH("N/A",P79)))</formula>
    </cfRule>
  </conditionalFormatting>
  <conditionalFormatting sqref="P79">
    <cfRule type="containsText" dxfId="543" priority="661" operator="containsText" text="MEDIO">
      <formula>NOT(ISERROR(SEARCH("MEDIO",P79)))</formula>
    </cfRule>
  </conditionalFormatting>
  <conditionalFormatting sqref="P79">
    <cfRule type="containsText" dxfId="542" priority="660" operator="containsText" text="R. MODERADO">
      <formula>NOT(ISERROR(SEARCH("R. MODERADO",P79)))</formula>
    </cfRule>
  </conditionalFormatting>
  <conditionalFormatting sqref="P79">
    <cfRule type="containsText" dxfId="541" priority="654" operator="containsText" text="BAJO">
      <formula>NOT(ISERROR(SEARCH("BAJO",P79)))</formula>
    </cfRule>
    <cfRule type="containsText" dxfId="540" priority="655" operator="containsText" text="MODERADO">
      <formula>NOT(ISERROR(SEARCH("MODERADO",P79)))</formula>
    </cfRule>
    <cfRule type="containsText" dxfId="539" priority="656" operator="containsText" text="SANO">
      <formula>NOT(ISERROR(SEARCH("SANO",P79)))</formula>
    </cfRule>
    <cfRule type="containsText" dxfId="538" priority="657" operator="containsText" text="ALTO">
      <formula>NOT(ISERROR(SEARCH("ALTO",P79)))</formula>
    </cfRule>
    <cfRule type="colorScale" priority="65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37" priority="659" operator="containsText" text="ALTO">
      <formula>NOT(ISERROR(SEARCH("ALTO",P79)))</formula>
    </cfRule>
  </conditionalFormatting>
  <conditionalFormatting sqref="R79">
    <cfRule type="containsText" dxfId="536" priority="626" operator="containsText" text="MODERADO">
      <formula>NOT(ISERROR(SEARCH("MODERADO",R79)))</formula>
    </cfRule>
    <cfRule type="containsText" dxfId="535" priority="627" operator="containsText" text="SANO">
      <formula>NOT(ISERROR(SEARCH("SANO",R79)))</formula>
    </cfRule>
    <cfRule type="containsText" dxfId="534" priority="628" operator="containsText" text="ALTO">
      <formula>NOT(ISERROR(SEARCH("ALTO",R79)))</formula>
    </cfRule>
    <cfRule type="containsText" dxfId="533" priority="629" operator="containsText" text="BAJO">
      <formula>NOT(ISERROR(SEARCH("BAJO",R79)))</formula>
    </cfRule>
    <cfRule type="containsText" dxfId="532" priority="630" operator="containsText" text="FALTA">
      <formula>NOT(ISERROR(SEARCH("FALTA",R79)))</formula>
    </cfRule>
  </conditionalFormatting>
  <conditionalFormatting sqref="R79">
    <cfRule type="containsText" dxfId="531" priority="625" operator="containsText" text="N/A">
      <formula>NOT(ISERROR(SEARCH("N/A",R79)))</formula>
    </cfRule>
  </conditionalFormatting>
  <conditionalFormatting sqref="R79">
    <cfRule type="containsText" dxfId="530" priority="624" operator="containsText" text="MEDIO">
      <formula>NOT(ISERROR(SEARCH("MEDIO",R79)))</formula>
    </cfRule>
  </conditionalFormatting>
  <conditionalFormatting sqref="R79">
    <cfRule type="containsText" dxfId="529" priority="623" operator="containsText" text="R. MODERADO">
      <formula>NOT(ISERROR(SEARCH("R. MODERADO",R79)))</formula>
    </cfRule>
  </conditionalFormatting>
  <conditionalFormatting sqref="R79">
    <cfRule type="containsText" dxfId="528" priority="617" operator="containsText" text="BAJO">
      <formula>NOT(ISERROR(SEARCH("BAJO",R79)))</formula>
    </cfRule>
    <cfRule type="containsText" dxfId="527" priority="618" operator="containsText" text="MODERADO">
      <formula>NOT(ISERROR(SEARCH("MODERADO",R79)))</formula>
    </cfRule>
    <cfRule type="containsText" dxfId="526" priority="619" operator="containsText" text="SANO">
      <formula>NOT(ISERROR(SEARCH("SANO",R79)))</formula>
    </cfRule>
    <cfRule type="containsText" dxfId="525" priority="620" operator="containsText" text="ALTO">
      <formula>NOT(ISERROR(SEARCH("ALTO",R79)))</formula>
    </cfRule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24" priority="622" operator="containsText" text="ALTO">
      <formula>NOT(ISERROR(SEARCH("ALTO",R79)))</formula>
    </cfRule>
  </conditionalFormatting>
  <conditionalFormatting sqref="R18">
    <cfRule type="containsText" dxfId="523" priority="602" operator="containsText" text="BAJO">
      <formula>NOT(ISERROR(SEARCH("BAJO",R18)))</formula>
    </cfRule>
    <cfRule type="containsText" dxfId="522" priority="603" operator="containsText" text="MODERADO">
      <formula>NOT(ISERROR(SEARCH("MODERADO",R18)))</formula>
    </cfRule>
    <cfRule type="containsText" dxfId="521" priority="604" operator="containsText" text="SANO">
      <formula>NOT(ISERROR(SEARCH("SANO",R18)))</formula>
    </cfRule>
    <cfRule type="containsText" dxfId="520" priority="605" operator="containsText" text="ALTO">
      <formula>NOT(ISERROR(SEARCH("ALTO",R18)))</formula>
    </cfRule>
    <cfRule type="colorScale" priority="60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19" priority="607" operator="containsText" text="ALTO">
      <formula>NOT(ISERROR(SEARCH("ALTO",R18)))</formula>
    </cfRule>
  </conditionalFormatting>
  <conditionalFormatting sqref="R38">
    <cfRule type="containsText" dxfId="518" priority="590" operator="containsText" text="BAJO">
      <formula>NOT(ISERROR(SEARCH("BAJO",R38)))</formula>
    </cfRule>
    <cfRule type="containsText" dxfId="517" priority="591" operator="containsText" text="MODERADO">
      <formula>NOT(ISERROR(SEARCH("MODERADO",R38)))</formula>
    </cfRule>
    <cfRule type="containsText" dxfId="516" priority="592" operator="containsText" text="SANO">
      <formula>NOT(ISERROR(SEARCH("SANO",R38)))</formula>
    </cfRule>
    <cfRule type="containsText" dxfId="515" priority="593" operator="containsText" text="ALTO">
      <formula>NOT(ISERROR(SEARCH("ALTO",R38)))</formula>
    </cfRule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14" priority="595" operator="containsText" text="ALTO">
      <formula>NOT(ISERROR(SEARCH("ALTO",R38)))</formula>
    </cfRule>
  </conditionalFormatting>
  <conditionalFormatting sqref="R61">
    <cfRule type="containsText" dxfId="513" priority="578" operator="containsText" text="BAJO">
      <formula>NOT(ISERROR(SEARCH("BAJO",R61)))</formula>
    </cfRule>
    <cfRule type="containsText" dxfId="512" priority="579" operator="containsText" text="MODERADO">
      <formula>NOT(ISERROR(SEARCH("MODERADO",R61)))</formula>
    </cfRule>
    <cfRule type="containsText" dxfId="511" priority="580" operator="containsText" text="SANO">
      <formula>NOT(ISERROR(SEARCH("SANO",R61)))</formula>
    </cfRule>
    <cfRule type="containsText" dxfId="510" priority="581" operator="containsText" text="ALTO">
      <formula>NOT(ISERROR(SEARCH("ALTO",R61)))</formula>
    </cfRule>
    <cfRule type="colorScale" priority="58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09" priority="583" operator="containsText" text="ALTO">
      <formula>NOT(ISERROR(SEARCH("ALTO",R61)))</formula>
    </cfRule>
  </conditionalFormatting>
  <conditionalFormatting sqref="R13">
    <cfRule type="containsText" dxfId="508" priority="572" operator="containsText" text="BAJO">
      <formula>NOT(ISERROR(SEARCH("BAJO",R13)))</formula>
    </cfRule>
    <cfRule type="containsText" dxfId="507" priority="573" operator="containsText" text="MODERADO">
      <formula>NOT(ISERROR(SEARCH("MODERADO",R13)))</formula>
    </cfRule>
    <cfRule type="containsText" dxfId="506" priority="574" operator="containsText" text="SANO">
      <formula>NOT(ISERROR(SEARCH("SANO",R13)))</formula>
    </cfRule>
    <cfRule type="containsText" dxfId="505" priority="575" operator="containsText" text="ALTO">
      <formula>NOT(ISERROR(SEARCH("ALTO",R13)))</formula>
    </cfRule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04" priority="577" operator="containsText" text="ALTO">
      <formula>NOT(ISERROR(SEARCH("ALTO",R13)))</formula>
    </cfRule>
  </conditionalFormatting>
  <conditionalFormatting sqref="R16">
    <cfRule type="containsText" dxfId="503" priority="566" operator="containsText" text="BAJO">
      <formula>NOT(ISERROR(SEARCH("BAJO",R16)))</formula>
    </cfRule>
    <cfRule type="containsText" dxfId="502" priority="567" operator="containsText" text="MODERADO">
      <formula>NOT(ISERROR(SEARCH("MODERADO",R16)))</formula>
    </cfRule>
    <cfRule type="containsText" dxfId="501" priority="568" operator="containsText" text="SANO">
      <formula>NOT(ISERROR(SEARCH("SANO",R16)))</formula>
    </cfRule>
    <cfRule type="containsText" dxfId="500" priority="569" operator="containsText" text="ALTO">
      <formula>NOT(ISERROR(SEARCH("ALTO",R16)))</formula>
    </cfRule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99" priority="571" operator="containsText" text="ALTO">
      <formula>NOT(ISERROR(SEARCH("ALTO",R16)))</formula>
    </cfRule>
  </conditionalFormatting>
  <conditionalFormatting sqref="R36:R37">
    <cfRule type="containsText" dxfId="498" priority="560" operator="containsText" text="BAJO">
      <formula>NOT(ISERROR(SEARCH("BAJO",R36)))</formula>
    </cfRule>
    <cfRule type="containsText" dxfId="497" priority="561" operator="containsText" text="MODERADO">
      <formula>NOT(ISERROR(SEARCH("MODERADO",R36)))</formula>
    </cfRule>
    <cfRule type="containsText" dxfId="496" priority="562" operator="containsText" text="SANO">
      <formula>NOT(ISERROR(SEARCH("SANO",R36)))</formula>
    </cfRule>
    <cfRule type="containsText" dxfId="495" priority="563" operator="containsText" text="ALTO">
      <formula>NOT(ISERROR(SEARCH("ALTO",R36)))</formula>
    </cfRule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94" priority="565" operator="containsText" text="ALTO">
      <formula>NOT(ISERROR(SEARCH("ALTO",R36)))</formula>
    </cfRule>
  </conditionalFormatting>
  <conditionalFormatting sqref="R58">
    <cfRule type="containsText" dxfId="493" priority="554" operator="containsText" text="BAJO">
      <formula>NOT(ISERROR(SEARCH("BAJO",R58)))</formula>
    </cfRule>
    <cfRule type="containsText" dxfId="492" priority="555" operator="containsText" text="MODERADO">
      <formula>NOT(ISERROR(SEARCH("MODERADO",R58)))</formula>
    </cfRule>
    <cfRule type="containsText" dxfId="491" priority="556" operator="containsText" text="SANO">
      <formula>NOT(ISERROR(SEARCH("SANO",R58)))</formula>
    </cfRule>
    <cfRule type="containsText" dxfId="490" priority="557" operator="containsText" text="ALTO">
      <formula>NOT(ISERROR(SEARCH("ALTO",R58)))</formula>
    </cfRule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89" priority="559" operator="containsText" text="ALTO">
      <formula>NOT(ISERROR(SEARCH("ALTO",R58)))</formula>
    </cfRule>
  </conditionalFormatting>
  <conditionalFormatting sqref="R35">
    <cfRule type="containsText" dxfId="488" priority="542" operator="containsText" text="BAJO">
      <formula>NOT(ISERROR(SEARCH("BAJO",R35)))</formula>
    </cfRule>
    <cfRule type="containsText" dxfId="487" priority="543" operator="containsText" text="MODERADO">
      <formula>NOT(ISERROR(SEARCH("MODERADO",R35)))</formula>
    </cfRule>
    <cfRule type="containsText" dxfId="486" priority="544" operator="containsText" text="SANO">
      <formula>NOT(ISERROR(SEARCH("SANO",R35)))</formula>
    </cfRule>
    <cfRule type="containsText" dxfId="485" priority="545" operator="containsText" text="ALTO">
      <formula>NOT(ISERROR(SEARCH("ALTO",R35)))</formula>
    </cfRule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84" priority="547" operator="containsText" text="ALTO">
      <formula>NOT(ISERROR(SEARCH("ALTO",R35)))</formula>
    </cfRule>
  </conditionalFormatting>
  <conditionalFormatting sqref="R49">
    <cfRule type="containsText" dxfId="483" priority="536" operator="containsText" text="BAJO">
      <formula>NOT(ISERROR(SEARCH("BAJO",R49)))</formula>
    </cfRule>
    <cfRule type="containsText" dxfId="482" priority="537" operator="containsText" text="MODERADO">
      <formula>NOT(ISERROR(SEARCH("MODERADO",R49)))</formula>
    </cfRule>
    <cfRule type="containsText" dxfId="481" priority="538" operator="containsText" text="SANO">
      <formula>NOT(ISERROR(SEARCH("SANO",R49)))</formula>
    </cfRule>
    <cfRule type="containsText" dxfId="480" priority="539" operator="containsText" text="ALTO">
      <formula>NOT(ISERROR(SEARCH("ALTO",R49)))</formula>
    </cfRule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79" priority="541" operator="containsText" text="ALTO">
      <formula>NOT(ISERROR(SEARCH("ALTO",R49)))</formula>
    </cfRule>
  </conditionalFormatting>
  <conditionalFormatting sqref="R52:R53">
    <cfRule type="containsText" dxfId="478" priority="530" operator="containsText" text="BAJO">
      <formula>NOT(ISERROR(SEARCH("BAJO",R52)))</formula>
    </cfRule>
    <cfRule type="containsText" dxfId="477" priority="531" operator="containsText" text="MODERADO">
      <formula>NOT(ISERROR(SEARCH("MODERADO",R52)))</formula>
    </cfRule>
    <cfRule type="containsText" dxfId="476" priority="532" operator="containsText" text="SANO">
      <formula>NOT(ISERROR(SEARCH("SANO",R52)))</formula>
    </cfRule>
    <cfRule type="containsText" dxfId="475" priority="533" operator="containsText" text="ALTO">
      <formula>NOT(ISERROR(SEARCH("ALTO",R52)))</formula>
    </cfRule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74" priority="535" operator="containsText" text="ALTO">
      <formula>NOT(ISERROR(SEARCH("ALTO",R52)))</formula>
    </cfRule>
  </conditionalFormatting>
  <conditionalFormatting sqref="R20">
    <cfRule type="containsText" dxfId="473" priority="524" operator="containsText" text="BAJO">
      <formula>NOT(ISERROR(SEARCH("BAJO",R20)))</formula>
    </cfRule>
    <cfRule type="containsText" dxfId="472" priority="525" operator="containsText" text="MODERADO">
      <formula>NOT(ISERROR(SEARCH("MODERADO",R20)))</formula>
    </cfRule>
    <cfRule type="containsText" dxfId="471" priority="526" operator="containsText" text="SANO">
      <formula>NOT(ISERROR(SEARCH("SANO",R20)))</formula>
    </cfRule>
    <cfRule type="containsText" dxfId="470" priority="527" operator="containsText" text="ALTO">
      <formula>NOT(ISERROR(SEARCH("ALTO",R20)))</formula>
    </cfRule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69" priority="529" operator="containsText" text="ALTO">
      <formula>NOT(ISERROR(SEARCH("ALTO",R20)))</formula>
    </cfRule>
  </conditionalFormatting>
  <conditionalFormatting sqref="R115">
    <cfRule type="containsText" dxfId="468" priority="518" operator="containsText" text="BAJO">
      <formula>NOT(ISERROR(SEARCH("BAJO",R115)))</formula>
    </cfRule>
    <cfRule type="containsText" dxfId="467" priority="519" operator="containsText" text="MODERADO">
      <formula>NOT(ISERROR(SEARCH("MODERADO",R115)))</formula>
    </cfRule>
    <cfRule type="containsText" dxfId="466" priority="520" operator="containsText" text="SANO">
      <formula>NOT(ISERROR(SEARCH("SANO",R115)))</formula>
    </cfRule>
    <cfRule type="containsText" dxfId="465" priority="521" operator="containsText" text="ALTO">
      <formula>NOT(ISERROR(SEARCH("ALTO",R115)))</formula>
    </cfRule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64" priority="523" operator="containsText" text="ALTO">
      <formula>NOT(ISERROR(SEARCH("ALTO",R115)))</formula>
    </cfRule>
  </conditionalFormatting>
  <conditionalFormatting sqref="R75">
    <cfRule type="containsText" dxfId="463" priority="506" operator="containsText" text="BAJO">
      <formula>NOT(ISERROR(SEARCH("BAJO",R75)))</formula>
    </cfRule>
    <cfRule type="containsText" dxfId="462" priority="507" operator="containsText" text="MODERADO">
      <formula>NOT(ISERROR(SEARCH("MODERADO",R75)))</formula>
    </cfRule>
    <cfRule type="containsText" dxfId="461" priority="508" operator="containsText" text="SANO">
      <formula>NOT(ISERROR(SEARCH("SANO",R75)))</formula>
    </cfRule>
    <cfRule type="containsText" dxfId="460" priority="509" operator="containsText" text="ALTO">
      <formula>NOT(ISERROR(SEARCH("ALTO",R75)))</formula>
    </cfRule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59" priority="511" operator="containsText" text="ALTO">
      <formula>NOT(ISERROR(SEARCH("ALTO",R75)))</formula>
    </cfRule>
  </conditionalFormatting>
  <conditionalFormatting sqref="R125">
    <cfRule type="containsText" dxfId="458" priority="70802" operator="containsText" text="BAJO">
      <formula>NOT(ISERROR(SEARCH("BAJO",R125)))</formula>
    </cfRule>
    <cfRule type="containsText" dxfId="457" priority="70803" operator="containsText" text="MODERADO">
      <formula>NOT(ISERROR(SEARCH("MODERADO",R125)))</formula>
    </cfRule>
    <cfRule type="containsText" dxfId="456" priority="70804" operator="containsText" text="SANO">
      <formula>NOT(ISERROR(SEARCH("SANO",R125)))</formula>
    </cfRule>
    <cfRule type="containsText" dxfId="455" priority="70805" operator="containsText" text="ALTO">
      <formula>NOT(ISERROR(SEARCH("ALTO",R125)))</formula>
    </cfRule>
    <cfRule type="colorScale" priority="7080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54" priority="70807" operator="containsText" text="ALTO">
      <formula>NOT(ISERROR(SEARCH("ALTO",R125)))</formula>
    </cfRule>
  </conditionalFormatting>
  <conditionalFormatting sqref="R117:R119">
    <cfRule type="containsText" dxfId="453" priority="70808" operator="containsText" text="BAJO">
      <formula>NOT(ISERROR(SEARCH("BAJO",R117)))</formula>
    </cfRule>
    <cfRule type="containsText" dxfId="452" priority="70809" operator="containsText" text="MODERADO">
      <formula>NOT(ISERROR(SEARCH("MODERADO",R117)))</formula>
    </cfRule>
    <cfRule type="containsText" dxfId="451" priority="70810" operator="containsText" text="SANO">
      <formula>NOT(ISERROR(SEARCH("SANO",R117)))</formula>
    </cfRule>
    <cfRule type="containsText" dxfId="450" priority="70811" operator="containsText" text="ALTO">
      <formula>NOT(ISERROR(SEARCH("ALTO",R117)))</formula>
    </cfRule>
    <cfRule type="colorScale" priority="7081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49" priority="70813" operator="containsText" text="ALTO">
      <formula>NOT(ISERROR(SEARCH("ALTO",R117)))</formula>
    </cfRule>
  </conditionalFormatting>
  <conditionalFormatting sqref="V79">
    <cfRule type="containsText" dxfId="448" priority="446" operator="containsText" text="MODERADO">
      <formula>NOT(ISERROR(SEARCH("MODERADO",V79)))</formula>
    </cfRule>
    <cfRule type="containsText" dxfId="447" priority="447" operator="containsText" text="SANO">
      <formula>NOT(ISERROR(SEARCH("SANO",V79)))</formula>
    </cfRule>
    <cfRule type="containsText" dxfId="446" priority="448" operator="containsText" text="ALTO">
      <formula>NOT(ISERROR(SEARCH("ALTO",V79)))</formula>
    </cfRule>
    <cfRule type="containsText" dxfId="445" priority="449" operator="containsText" text="BAJO">
      <formula>NOT(ISERROR(SEARCH("BAJO",V79)))</formula>
    </cfRule>
    <cfRule type="containsText" dxfId="444" priority="450" operator="containsText" text="FALTA">
      <formula>NOT(ISERROR(SEARCH("FALTA",V79)))</formula>
    </cfRule>
  </conditionalFormatting>
  <conditionalFormatting sqref="V79">
    <cfRule type="containsText" dxfId="443" priority="445" operator="containsText" text="N/A">
      <formula>NOT(ISERROR(SEARCH("N/A",V79)))</formula>
    </cfRule>
  </conditionalFormatting>
  <conditionalFormatting sqref="V79">
    <cfRule type="containsText" dxfId="442" priority="444" operator="containsText" text="MEDIO">
      <formula>NOT(ISERROR(SEARCH("MEDIO",V79)))</formula>
    </cfRule>
  </conditionalFormatting>
  <conditionalFormatting sqref="V79">
    <cfRule type="containsText" dxfId="441" priority="443" operator="containsText" text="R. MODERADO">
      <formula>NOT(ISERROR(SEARCH("R. MODERADO",V79)))</formula>
    </cfRule>
  </conditionalFormatting>
  <conditionalFormatting sqref="V79">
    <cfRule type="containsText" dxfId="440" priority="437" operator="containsText" text="BAJO">
      <formula>NOT(ISERROR(SEARCH("BAJO",V79)))</formula>
    </cfRule>
    <cfRule type="containsText" dxfId="439" priority="438" operator="containsText" text="MODERADO">
      <formula>NOT(ISERROR(SEARCH("MODERADO",V79)))</formula>
    </cfRule>
    <cfRule type="containsText" dxfId="438" priority="439" operator="containsText" text="SANO">
      <formula>NOT(ISERROR(SEARCH("SANO",V79)))</formula>
    </cfRule>
    <cfRule type="containsText" dxfId="437" priority="440" operator="containsText" text="ALTO">
      <formula>NOT(ISERROR(SEARCH("ALTO",V79)))</formula>
    </cfRule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36" priority="442" operator="containsText" text="ALTO">
      <formula>NOT(ISERROR(SEARCH("ALTO",V79)))</formula>
    </cfRule>
  </conditionalFormatting>
  <conditionalFormatting sqref="V94:V95 V117:V119 V115 V113 V91:V92 V74:V75 V52:V53 V66 V58 V35:V36 V43 V41 V16:V18 V32 V30 V24 V20 V13 V9:V11">
    <cfRule type="containsText" dxfId="435" priority="410" operator="containsText" text="BAJO">
      <formula>NOT(ISERROR(SEARCH("BAJO",V9)))</formula>
    </cfRule>
    <cfRule type="containsText" dxfId="434" priority="411" operator="containsText" text="MODERADO">
      <formula>NOT(ISERROR(SEARCH("MODERADO",V9)))</formula>
    </cfRule>
    <cfRule type="containsText" dxfId="433" priority="412" operator="containsText" text="SANO">
      <formula>NOT(ISERROR(SEARCH("SANO",V9)))</formula>
    </cfRule>
    <cfRule type="containsText" dxfId="432" priority="413" operator="containsText" text="ALTO">
      <formula>NOT(ISERROR(SEARCH("ALTO",V9)))</formula>
    </cfRule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31" priority="415" operator="containsText" text="ALTO">
      <formula>NOT(ISERROR(SEARCH("ALTO",V9)))</formula>
    </cfRule>
  </conditionalFormatting>
  <conditionalFormatting sqref="V141">
    <cfRule type="containsText" dxfId="430" priority="404" operator="containsText" text="BAJO">
      <formula>NOT(ISERROR(SEARCH("BAJO",V141)))</formula>
    </cfRule>
    <cfRule type="containsText" dxfId="429" priority="405" operator="containsText" text="MODERADO">
      <formula>NOT(ISERROR(SEARCH("MODERADO",V141)))</formula>
    </cfRule>
    <cfRule type="containsText" dxfId="428" priority="406" operator="containsText" text="SANO">
      <formula>NOT(ISERROR(SEARCH("SANO",V141)))</formula>
    </cfRule>
    <cfRule type="containsText" dxfId="427" priority="407" operator="containsText" text="ALTO">
      <formula>NOT(ISERROR(SEARCH("ALTO",V141)))</formula>
    </cfRule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26" priority="409" operator="containsText" text="ALTO">
      <formula>NOT(ISERROR(SEARCH("ALTO",V141)))</formula>
    </cfRule>
  </conditionalFormatting>
  <conditionalFormatting sqref="V25:V26 V46 V21 V23">
    <cfRule type="containsText" dxfId="425" priority="398" operator="containsText" text="BAJO">
      <formula>NOT(ISERROR(SEARCH("BAJO",V21)))</formula>
    </cfRule>
    <cfRule type="containsText" dxfId="424" priority="399" operator="containsText" text="MODERADO">
      <formula>NOT(ISERROR(SEARCH("MODERADO",V21)))</formula>
    </cfRule>
    <cfRule type="containsText" dxfId="423" priority="400" operator="containsText" text="SANO">
      <formula>NOT(ISERROR(SEARCH("SANO",V21)))</formula>
    </cfRule>
    <cfRule type="containsText" dxfId="422" priority="401" operator="containsText" text="ALTO">
      <formula>NOT(ISERROR(SEARCH("ALTO",V21)))</formula>
    </cfRule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21" priority="403" operator="containsText" text="ALTO">
      <formula>NOT(ISERROR(SEARCH("ALTO",V21)))</formula>
    </cfRule>
  </conditionalFormatting>
  <conditionalFormatting sqref="V67 V51 V64 V56 V54">
    <cfRule type="containsText" dxfId="420" priority="392" operator="containsText" text="BAJO">
      <formula>NOT(ISERROR(SEARCH("BAJO",V51)))</formula>
    </cfRule>
    <cfRule type="containsText" dxfId="419" priority="393" operator="containsText" text="MODERADO">
      <formula>NOT(ISERROR(SEARCH("MODERADO",V51)))</formula>
    </cfRule>
    <cfRule type="containsText" dxfId="418" priority="394" operator="containsText" text="SANO">
      <formula>NOT(ISERROR(SEARCH("SANO",V51)))</formula>
    </cfRule>
    <cfRule type="containsText" dxfId="417" priority="395" operator="containsText" text="ALTO">
      <formula>NOT(ISERROR(SEARCH("ALTO",V51)))</formula>
    </cfRule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16" priority="397" operator="containsText" text="ALTO">
      <formula>NOT(ISERROR(SEARCH("ALTO",V51)))</formula>
    </cfRule>
  </conditionalFormatting>
  <conditionalFormatting sqref="V103:V105 V71 V96 V86 V78">
    <cfRule type="containsText" dxfId="415" priority="386" operator="containsText" text="BAJO">
      <formula>NOT(ISERROR(SEARCH("BAJO",V71)))</formula>
    </cfRule>
    <cfRule type="containsText" dxfId="414" priority="387" operator="containsText" text="MODERADO">
      <formula>NOT(ISERROR(SEARCH("MODERADO",V71)))</formula>
    </cfRule>
    <cfRule type="containsText" dxfId="413" priority="388" operator="containsText" text="SANO">
      <formula>NOT(ISERROR(SEARCH("SANO",V71)))</formula>
    </cfRule>
    <cfRule type="containsText" dxfId="412" priority="389" operator="containsText" text="ALTO">
      <formula>NOT(ISERROR(SEARCH("ALTO",V71)))</formula>
    </cfRule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11" priority="391" operator="containsText" text="ALTO">
      <formula>NOT(ISERROR(SEARCH("ALTO",V71)))</formula>
    </cfRule>
  </conditionalFormatting>
  <conditionalFormatting sqref="N104:N106">
    <cfRule type="containsText" dxfId="410" priority="72252" operator="containsText" text="BAJO">
      <formula>NOT(ISERROR(SEARCH("BAJO",N104)))</formula>
    </cfRule>
    <cfRule type="containsText" dxfId="409" priority="72253" operator="containsText" text="MODERADO">
      <formula>NOT(ISERROR(SEARCH("MODERADO",N104)))</formula>
    </cfRule>
    <cfRule type="containsText" dxfId="408" priority="72254" operator="containsText" text="SANO">
      <formula>NOT(ISERROR(SEARCH("SANO",N104)))</formula>
    </cfRule>
    <cfRule type="containsText" dxfId="407" priority="72255" operator="containsText" text="ALTO">
      <formula>NOT(ISERROR(SEARCH("ALTO",N104)))</formula>
    </cfRule>
    <cfRule type="colorScale" priority="7225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06" priority="72257" operator="containsText" text="ALTO">
      <formula>NOT(ISERROR(SEARCH("ALTO",N104)))</formula>
    </cfRule>
  </conditionalFormatting>
  <conditionalFormatting sqref="D82 T83 P83 R83 V83">
    <cfRule type="containsText" dxfId="405" priority="365" operator="containsText" text="MEDIO">
      <formula>NOT(ISERROR(SEARCH("MEDIO",D82)))</formula>
    </cfRule>
  </conditionalFormatting>
  <conditionalFormatting sqref="D82">
    <cfRule type="containsText" dxfId="404" priority="362" operator="containsText" text="SANO">
      <formula>NOT(ISERROR(SEARCH("SANO",D82)))</formula>
    </cfRule>
    <cfRule type="containsText" dxfId="403" priority="363" operator="containsText" text="ALTO">
      <formula>NOT(ISERROR(SEARCH("ALTO",D82)))</formula>
    </cfRule>
    <cfRule type="containsText" dxfId="402" priority="364" operator="containsText" text="FALTA">
      <formula>NOT(ISERROR(SEARCH("FALTA",D82)))</formula>
    </cfRule>
  </conditionalFormatting>
  <conditionalFormatting sqref="D82">
    <cfRule type="containsText" dxfId="401" priority="361" operator="containsText" text="HAS / DM">
      <formula>NOT(ISERROR(SEARCH("HAS / DM",D82)))</formula>
    </cfRule>
  </conditionalFormatting>
  <conditionalFormatting sqref="D82">
    <cfRule type="containsText" dxfId="400" priority="360" operator="containsText" text="PEND ESTATUS">
      <formula>NOT(ISERROR(SEARCH("PEND ESTATUS",D82)))</formula>
    </cfRule>
  </conditionalFormatting>
  <conditionalFormatting sqref="H83 J83 X83 Z83 AB83">
    <cfRule type="containsText" dxfId="399" priority="350" operator="containsText" text="MEDIO">
      <formula>NOT(ISERROR(SEARCH("MEDIO",H83)))</formula>
    </cfRule>
    <cfRule type="containsText" dxfId="398" priority="351" operator="containsText" text="VACACIONES">
      <formula>NOT(ISERROR(SEARCH("VACACIONES",H83)))</formula>
    </cfRule>
    <cfRule type="containsText" dxfId="397" priority="352" operator="containsText" text="ALTO">
      <formula>NOT(ISERROR(SEARCH("ALTO",H83)))</formula>
    </cfRule>
    <cfRule type="containsText" dxfId="396" priority="353" operator="containsText" text="NEDIO">
      <formula>NOT(ISERROR(SEARCH("NEDIO",H83)))</formula>
    </cfRule>
    <cfRule type="containsText" dxfId="395" priority="354" operator="containsText" text="SANO">
      <formula>NOT(ISERROR(SEARCH("SANO",H83)))</formula>
    </cfRule>
  </conditionalFormatting>
  <conditionalFormatting sqref="D82">
    <cfRule type="containsText" dxfId="394" priority="345" operator="containsText" text="ICC">
      <formula>NOT(ISERROR(SEARCH("ICC",D82)))</formula>
    </cfRule>
    <cfRule type="containsText" dxfId="393" priority="346" operator="containsText" text="TA REACTIVA">
      <formula>NOT(ISERROR(SEARCH("TA REACTIVA",D82)))</formula>
    </cfRule>
    <cfRule type="containsText" dxfId="392" priority="347" operator="containsText" text="DM">
      <formula>NOT(ISERROR(SEARCH("DM",D82)))</formula>
    </cfRule>
    <cfRule type="containsText" dxfId="391" priority="348" operator="containsText" text="HAS">
      <formula>NOT(ISERROR(SEARCH("HAS",D82)))</formula>
    </cfRule>
    <cfRule type="containsText" dxfId="390" priority="349" operator="containsText" text="TA ELEVADAS">
      <formula>NOT(ISERROR(SEARCH("TA ELEVADAS",D82)))</formula>
    </cfRule>
  </conditionalFormatting>
  <conditionalFormatting sqref="G83">
    <cfRule type="containsText" dxfId="389" priority="340" operator="containsText" text="Q. S. + HEMOGLOBINA GLICOSILADA">
      <formula>NOT(ISERROR(SEARCH("Q. S. + HEMOGLOBINA GLICOSILADA",G83)))</formula>
    </cfRule>
    <cfRule type="containsText" dxfId="388" priority="341" operator="containsText" text="HEMOGLOBINA GLICOSILADA">
      <formula>NOT(ISERROR(SEARCH("HEMOGLOBINA GLICOSILADA",G83)))</formula>
    </cfRule>
    <cfRule type="containsText" dxfId="387" priority="342" operator="containsText" text="QUIMICA SANGUINEA">
      <formula>NOT(ISERROR(SEARCH("QUIMICA SANGUINEA",G83)))</formula>
    </cfRule>
    <cfRule type="containsText" dxfId="386" priority="343" operator="containsText" text="NO AYUNO">
      <formula>NOT(ISERROR(SEARCH("NO AYUNO",G83)))</formula>
    </cfRule>
    <cfRule type="containsText" dxfId="385" priority="344" operator="containsText" text="AYUNO">
      <formula>NOT(ISERROR(SEARCH("AYUNO",G83)))</formula>
    </cfRule>
  </conditionalFormatting>
  <conditionalFormatting sqref="H83">
    <cfRule type="containsText" dxfId="384" priority="339" operator="containsText" text="FALTA">
      <formula>NOT(ISERROR(SEARCH("FALTA",H83)))</formula>
    </cfRule>
  </conditionalFormatting>
  <conditionalFormatting sqref="O83 I83 K83">
    <cfRule type="containsText" dxfId="383" priority="332" operator="containsText" text="QUIMICA SANGUINEA">
      <formula>NOT(ISERROR(SEARCH("QUIMICA SANGUINEA",I83)))</formula>
    </cfRule>
    <cfRule type="containsText" dxfId="382" priority="333" operator="containsText" text="QUIMICA SANGUINEA + HEMOGLOBINA GLICOSILADA">
      <formula>NOT(ISERROR(SEARCH("QUIMICA SANGUINEA + HEMOGLOBINA GLICOSILADA",I83)))</formula>
    </cfRule>
    <cfRule type="containsText" dxfId="381" priority="334" operator="containsText" text="QUIMICA SANGUINEA">
      <formula>NOT(ISERROR(SEARCH("QUIMICA SANGUINEA",I83)))</formula>
    </cfRule>
    <cfRule type="containsText" priority="335" operator="containsText" text="QUIMICA SANGUINEA">
      <formula>NOT(ISERROR(SEARCH("QUIMICA SANGUINEA",I83)))</formula>
    </cfRule>
    <cfRule type="containsText" dxfId="380" priority="336" operator="containsText" text="HEMOGLOBINA GLICOSILADA">
      <formula>NOT(ISERROR(SEARCH("HEMOGLOBINA GLICOSILADA",I83)))</formula>
    </cfRule>
    <cfRule type="containsText" dxfId="379" priority="337" operator="containsText" text="NO AYUNO">
      <formula>NOT(ISERROR(SEARCH("NO AYUNO",I83)))</formula>
    </cfRule>
    <cfRule type="containsText" dxfId="378" priority="338" operator="containsText" text="AYUNO">
      <formula>NOT(ISERROR(SEARCH("AYUNO",I83)))</formula>
    </cfRule>
  </conditionalFormatting>
  <conditionalFormatting sqref="T83 P83 R83 V83">
    <cfRule type="containsText" dxfId="377" priority="327" operator="containsText" text="MODERADO">
      <formula>NOT(ISERROR(SEARCH("MODERADO",P83)))</formula>
    </cfRule>
    <cfRule type="containsText" dxfId="376" priority="328" operator="containsText" text="SANO">
      <formula>NOT(ISERROR(SEARCH("SANO",P83)))</formula>
    </cfRule>
    <cfRule type="containsText" dxfId="375" priority="329" operator="containsText" text="ALTO">
      <formula>NOT(ISERROR(SEARCH("ALTO",P83)))</formula>
    </cfRule>
    <cfRule type="containsText" dxfId="374" priority="330" operator="containsText" text="BAJO">
      <formula>NOT(ISERROR(SEARCH("BAJO",P83)))</formula>
    </cfRule>
    <cfRule type="containsText" dxfId="373" priority="331" operator="containsText" text="FALTA">
      <formula>NOT(ISERROR(SEARCH("FALTA",P83)))</formula>
    </cfRule>
  </conditionalFormatting>
  <conditionalFormatting sqref="T83 P83 R83 V83">
    <cfRule type="containsText" dxfId="372" priority="326" operator="containsText" text="N/A">
      <formula>NOT(ISERROR(SEARCH("N/A",P83)))</formula>
    </cfRule>
  </conditionalFormatting>
  <conditionalFormatting sqref="T83 P83 R83 V83">
    <cfRule type="containsText" dxfId="371" priority="325" operator="containsText" text="R. MODERADO">
      <formula>NOT(ISERROR(SEARCH("R. MODERADO",P83)))</formula>
    </cfRule>
  </conditionalFormatting>
  <conditionalFormatting sqref="L83:N83">
    <cfRule type="containsText" dxfId="370" priority="320" operator="containsText" text="MEDIO">
      <formula>NOT(ISERROR(SEARCH("MEDIO",L83)))</formula>
    </cfRule>
    <cfRule type="containsText" dxfId="369" priority="321" operator="containsText" text="VACACIONES">
      <formula>NOT(ISERROR(SEARCH("VACACIONES",L83)))</formula>
    </cfRule>
    <cfRule type="containsText" dxfId="368" priority="322" operator="containsText" text="ALTO">
      <formula>NOT(ISERROR(SEARCH("ALTO",L83)))</formula>
    </cfRule>
    <cfRule type="containsText" dxfId="367" priority="323" operator="containsText" text="NEDIO">
      <formula>NOT(ISERROR(SEARCH("NEDIO",L83)))</formula>
    </cfRule>
    <cfRule type="containsText" dxfId="366" priority="324" operator="containsText" text="SANO">
      <formula>NOT(ISERROR(SEARCH("SANO",L83)))</formula>
    </cfRule>
  </conditionalFormatting>
  <conditionalFormatting sqref="L83:N83">
    <cfRule type="containsText" dxfId="365" priority="319" operator="containsText" text="FALTA">
      <formula>NOT(ISERROR(SEARCH("FALTA",L83)))</formula>
    </cfRule>
  </conditionalFormatting>
  <conditionalFormatting sqref="L83:N83">
    <cfRule type="containsText" dxfId="364" priority="314" operator="containsText" text="MODERADO">
      <formula>NOT(ISERROR(SEARCH("MODERADO",L83)))</formula>
    </cfRule>
    <cfRule type="containsText" dxfId="363" priority="315" operator="containsText" text="SANO">
      <formula>NOT(ISERROR(SEARCH("SANO",L83)))</formula>
    </cfRule>
    <cfRule type="containsText" dxfId="362" priority="316" operator="containsText" text="ALTO">
      <formula>NOT(ISERROR(SEARCH("ALTO",L83)))</formula>
    </cfRule>
    <cfRule type="containsText" dxfId="361" priority="317" operator="containsText" text="BAJO">
      <formula>NOT(ISERROR(SEARCH("BAJO",L83)))</formula>
    </cfRule>
    <cfRule type="containsText" dxfId="360" priority="318" operator="containsText" text="FALTA">
      <formula>NOT(ISERROR(SEARCH("FALTA",L83)))</formula>
    </cfRule>
  </conditionalFormatting>
  <conditionalFormatting sqref="L83:N83">
    <cfRule type="containsText" dxfId="359" priority="313" operator="containsText" text="N/A">
      <formula>NOT(ISERROR(SEARCH("N/A",L83)))</formula>
    </cfRule>
  </conditionalFormatting>
  <conditionalFormatting sqref="L83:N83">
    <cfRule type="containsText" dxfId="358" priority="312" operator="containsText" text="MEDIO">
      <formula>NOT(ISERROR(SEARCH("MEDIO",L83)))</formula>
    </cfRule>
  </conditionalFormatting>
  <conditionalFormatting sqref="L83:N83">
    <cfRule type="containsText" dxfId="357" priority="306" operator="containsText" text="BAJO">
      <formula>NOT(ISERROR(SEARCH("BAJO",L83)))</formula>
    </cfRule>
    <cfRule type="containsText" dxfId="356" priority="307" operator="containsText" text="MODERADO">
      <formula>NOT(ISERROR(SEARCH("MODERADO",L83)))</formula>
    </cfRule>
    <cfRule type="containsText" dxfId="355" priority="308" operator="containsText" text="SANO">
      <formula>NOT(ISERROR(SEARCH("SANO",L83)))</formula>
    </cfRule>
    <cfRule type="containsText" dxfId="354" priority="309" operator="containsText" text="ALTO">
      <formula>NOT(ISERROR(SEARCH("ALTO",L83)))</formula>
    </cfRule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53" priority="311" operator="containsText" text="ALTO">
      <formula>NOT(ISERROR(SEARCH("ALTO",L83)))</formula>
    </cfRule>
  </conditionalFormatting>
  <conditionalFormatting sqref="L83:N83">
    <cfRule type="containsText" dxfId="352" priority="305" operator="containsText" text="R. MODERADO">
      <formula>NOT(ISERROR(SEARCH("R. MODERADO",L83)))</formula>
    </cfRule>
  </conditionalFormatting>
  <conditionalFormatting sqref="O83">
    <cfRule type="containsText" dxfId="351" priority="302" operator="containsText" text="N/A">
      <formula>NOT(ISERROR(SEARCH("N/A",O83)))</formula>
    </cfRule>
    <cfRule type="containsText" dxfId="350" priority="303" operator="containsText" text="HEMOGLOBINA GLUCOSILADA">
      <formula>NOT(ISERROR(SEARCH("HEMOGLOBINA GLUCOSILADA",O83)))</formula>
    </cfRule>
    <cfRule type="containsText" dxfId="349" priority="304" operator="containsText" text="HEMOGLOBINA GLUCOSILADA + QS">
      <formula>NOT(ISERROR(SEARCH("HEMOGLOBINA GLUCOSILADA + QS",O83)))</formula>
    </cfRule>
  </conditionalFormatting>
  <conditionalFormatting sqref="Q83">
    <cfRule type="containsText" dxfId="348" priority="298" operator="containsText" text="N/A">
      <formula>NOT(ISERROR(SEARCH("N/A",Q83)))</formula>
    </cfRule>
    <cfRule type="containsText" dxfId="347" priority="299" operator="containsText" text="NO AYUNO">
      <formula>NOT(ISERROR(SEARCH("NO AYUNO",Q83)))</formula>
    </cfRule>
    <cfRule type="containsText" dxfId="346" priority="300" operator="containsText" text="AYUNO">
      <formula>NOT(ISERROR(SEARCH("AYUNO",Q83)))</formula>
    </cfRule>
    <cfRule type="containsText" dxfId="345" priority="301" operator="containsText" text="QUIMICA SANGUINEA">
      <formula>NOT(ISERROR(SEARCH("QUIMICA SANGUINEA",Q83)))</formula>
    </cfRule>
  </conditionalFormatting>
  <conditionalFormatting sqref="S83">
    <cfRule type="containsText" dxfId="344" priority="295" operator="containsText" text="N/A">
      <formula>NOT(ISERROR(SEARCH("N/A",S83)))</formula>
    </cfRule>
    <cfRule type="containsText" dxfId="343" priority="296" operator="containsText" text="NO AYUNO">
      <formula>NOT(ISERROR(SEARCH("NO AYUNO",S83)))</formula>
    </cfRule>
    <cfRule type="containsText" dxfId="342" priority="297" operator="containsText" text="AYUNO">
      <formula>NOT(ISERROR(SEARCH("AYUNO",S83)))</formula>
    </cfRule>
  </conditionalFormatting>
  <conditionalFormatting sqref="M83">
    <cfRule type="containsText" dxfId="341" priority="291" operator="containsText" text="NO AYUNO">
      <formula>NOT(ISERROR(SEARCH("NO AYUNO",M83)))</formula>
    </cfRule>
    <cfRule type="containsText" dxfId="340" priority="292" operator="containsText" text="AYUNO">
      <formula>NOT(ISERROR(SEARCH("AYUNO",M83)))</formula>
    </cfRule>
    <cfRule type="containsText" dxfId="339" priority="293" operator="containsText" text="QUIMICA SANGUINEA">
      <formula>NOT(ISERROR(SEARCH("QUIMICA SANGUINEA",M83)))</formula>
    </cfRule>
    <cfRule type="containsText" dxfId="338" priority="294" operator="containsText" text="N/A">
      <formula>NOT(ISERROR(SEARCH("N/A",M83)))</formula>
    </cfRule>
  </conditionalFormatting>
  <conditionalFormatting sqref="T83 P83 R83 V83">
    <cfRule type="containsText" dxfId="337" priority="288" operator="containsText" text="FALTA">
      <formula>NOT(ISERROR(SEARCH("FALTA",P83)))</formula>
    </cfRule>
    <cfRule type="containsText" dxfId="336" priority="289" operator="containsText" text="R. ALTO">
      <formula>NOT(ISERROR(SEARCH("R. ALTO",P83)))</formula>
    </cfRule>
    <cfRule type="containsText" dxfId="335" priority="290" operator="containsText" text="SANO">
      <formula>NOT(ISERROR(SEARCH("SANO",P83)))</formula>
    </cfRule>
  </conditionalFormatting>
  <conditionalFormatting sqref="T83">
    <cfRule type="containsText" dxfId="334" priority="282" operator="containsText" text="BAJO">
      <formula>NOT(ISERROR(SEARCH("BAJO",T83)))</formula>
    </cfRule>
    <cfRule type="containsText" dxfId="333" priority="283" operator="containsText" text="MODERADO">
      <formula>NOT(ISERROR(SEARCH("MODERADO",T83)))</formula>
    </cfRule>
    <cfRule type="containsText" dxfId="332" priority="284" operator="containsText" text="SANO">
      <formula>NOT(ISERROR(SEARCH("SANO",T83)))</formula>
    </cfRule>
    <cfRule type="containsText" dxfId="331" priority="285" operator="containsText" text="ALTO">
      <formula>NOT(ISERROR(SEARCH("ALTO",T83)))</formula>
    </cfRule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30" priority="287" operator="containsText" text="ALTO">
      <formula>NOT(ISERROR(SEARCH("ALTO",T83)))</formula>
    </cfRule>
  </conditionalFormatting>
  <conditionalFormatting sqref="R83">
    <cfRule type="containsText" dxfId="329" priority="276" operator="containsText" text="BAJO">
      <formula>NOT(ISERROR(SEARCH("BAJO",R83)))</formula>
    </cfRule>
    <cfRule type="containsText" dxfId="328" priority="277" operator="containsText" text="MODERADO">
      <formula>NOT(ISERROR(SEARCH("MODERADO",R83)))</formula>
    </cfRule>
    <cfRule type="containsText" dxfId="327" priority="278" operator="containsText" text="SANO">
      <formula>NOT(ISERROR(SEARCH("SANO",R83)))</formula>
    </cfRule>
    <cfRule type="containsText" dxfId="326" priority="279" operator="containsText" text="ALTO">
      <formula>NOT(ISERROR(SEARCH("ALTO",R83)))</formula>
    </cfRule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25" priority="281" operator="containsText" text="ALTO">
      <formula>NOT(ISERROR(SEARCH("ALTO",R83)))</formula>
    </cfRule>
  </conditionalFormatting>
  <conditionalFormatting sqref="P83">
    <cfRule type="containsText" dxfId="324" priority="270" operator="containsText" text="BAJO">
      <formula>NOT(ISERROR(SEARCH("BAJO",P83)))</formula>
    </cfRule>
    <cfRule type="containsText" dxfId="323" priority="271" operator="containsText" text="MODERADO">
      <formula>NOT(ISERROR(SEARCH("MODERADO",P83)))</formula>
    </cfRule>
    <cfRule type="containsText" dxfId="322" priority="272" operator="containsText" text="SANO">
      <formula>NOT(ISERROR(SEARCH("SANO",P83)))</formula>
    </cfRule>
    <cfRule type="containsText" dxfId="321" priority="273" operator="containsText" text="ALTO">
      <formula>NOT(ISERROR(SEARCH("ALTO",P83)))</formula>
    </cfRule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20" priority="275" operator="containsText" text="ALTO">
      <formula>NOT(ISERROR(SEARCH("ALTO",P83)))</formula>
    </cfRule>
  </conditionalFormatting>
  <conditionalFormatting sqref="V83">
    <cfRule type="containsText" dxfId="319" priority="264" operator="containsText" text="BAJO">
      <formula>NOT(ISERROR(SEARCH("BAJO",V83)))</formula>
    </cfRule>
    <cfRule type="containsText" dxfId="318" priority="265" operator="containsText" text="MODERADO">
      <formula>NOT(ISERROR(SEARCH("MODERADO",V83)))</formula>
    </cfRule>
    <cfRule type="containsText" dxfId="317" priority="266" operator="containsText" text="SANO">
      <formula>NOT(ISERROR(SEARCH("SANO",V83)))</formula>
    </cfRule>
    <cfRule type="containsText" dxfId="316" priority="267" operator="containsText" text="ALTO">
      <formula>NOT(ISERROR(SEARCH("ALTO",V83)))</formula>
    </cfRule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15" priority="269" operator="containsText" text="ALTO">
      <formula>NOT(ISERROR(SEARCH("ALTO",V83)))</formula>
    </cfRule>
  </conditionalFormatting>
  <conditionalFormatting sqref="L129:L138 V130:V139 R130:R139 P130:P139 T130:T139">
    <cfRule type="containsText" dxfId="314" priority="243" operator="containsText" text="MEDIO">
      <formula>NOT(ISERROR(SEARCH("MEDIO",L129)))</formula>
    </cfRule>
  </conditionalFormatting>
  <conditionalFormatting sqref="D128:D137">
    <cfRule type="containsText" dxfId="313" priority="242" operator="containsText" text="MEDIO">
      <formula>NOT(ISERROR(SEARCH("MEDIO",D128)))</formula>
    </cfRule>
  </conditionalFormatting>
  <conditionalFormatting sqref="D128:D137">
    <cfRule type="containsText" dxfId="312" priority="239" operator="containsText" text="SANO">
      <formula>NOT(ISERROR(SEARCH("SANO",D128)))</formula>
    </cfRule>
    <cfRule type="containsText" dxfId="311" priority="240" operator="containsText" text="ALTO">
      <formula>NOT(ISERROR(SEARCH("ALTO",D128)))</formula>
    </cfRule>
    <cfRule type="containsText" dxfId="310" priority="241" operator="containsText" text="FALTA">
      <formula>NOT(ISERROR(SEARCH("FALTA",D128)))</formula>
    </cfRule>
  </conditionalFormatting>
  <conditionalFormatting sqref="D128:D137">
    <cfRule type="containsText" dxfId="309" priority="238" operator="containsText" text="HAS / DM">
      <formula>NOT(ISERROR(SEARCH("HAS / DM",D128)))</formula>
    </cfRule>
  </conditionalFormatting>
  <conditionalFormatting sqref="D128:D137">
    <cfRule type="containsText" dxfId="308" priority="237" operator="containsText" text="PEND ESTATUS">
      <formula>NOT(ISERROR(SEARCH("PEND ESTATUS",D128)))</formula>
    </cfRule>
  </conditionalFormatting>
  <conditionalFormatting sqref="AB130:AB139 Z130:Z139 X130:X139 J129:J138 H129:H138">
    <cfRule type="containsText" dxfId="307" priority="227" operator="containsText" text="MEDIO">
      <formula>NOT(ISERROR(SEARCH("MEDIO",H129)))</formula>
    </cfRule>
    <cfRule type="containsText" dxfId="306" priority="228" operator="containsText" text="VACACIONES">
      <formula>NOT(ISERROR(SEARCH("VACACIONES",H129)))</formula>
    </cfRule>
    <cfRule type="containsText" dxfId="305" priority="229" operator="containsText" text="ALTO">
      <formula>NOT(ISERROR(SEARCH("ALTO",H129)))</formula>
    </cfRule>
    <cfRule type="containsText" dxfId="304" priority="230" operator="containsText" text="NEDIO">
      <formula>NOT(ISERROR(SEARCH("NEDIO",H129)))</formula>
    </cfRule>
    <cfRule type="containsText" dxfId="303" priority="231" operator="containsText" text="SANO">
      <formula>NOT(ISERROR(SEARCH("SANO",H129)))</formula>
    </cfRule>
  </conditionalFormatting>
  <conditionalFormatting sqref="D128:D137">
    <cfRule type="containsText" dxfId="302" priority="222" operator="containsText" text="ICC">
      <formula>NOT(ISERROR(SEARCH("ICC",D128)))</formula>
    </cfRule>
    <cfRule type="containsText" dxfId="301" priority="223" operator="containsText" text="TA REACTIVA">
      <formula>NOT(ISERROR(SEARCH("TA REACTIVA",D128)))</formula>
    </cfRule>
    <cfRule type="containsText" dxfId="300" priority="224" operator="containsText" text="DM">
      <formula>NOT(ISERROR(SEARCH("DM",D128)))</formula>
    </cfRule>
    <cfRule type="containsText" dxfId="299" priority="225" operator="containsText" text="HAS">
      <formula>NOT(ISERROR(SEARCH("HAS",D128)))</formula>
    </cfRule>
    <cfRule type="containsText" dxfId="298" priority="226" operator="containsText" text="TA ELEVADAS">
      <formula>NOT(ISERROR(SEARCH("TA ELEVADAS",D128)))</formula>
    </cfRule>
  </conditionalFormatting>
  <conditionalFormatting sqref="G129:G138">
    <cfRule type="containsText" dxfId="297" priority="217" operator="containsText" text="Q. S. + HEMOGLOBINA GLICOSILADA">
      <formula>NOT(ISERROR(SEARCH("Q. S. + HEMOGLOBINA GLICOSILADA",G129)))</formula>
    </cfRule>
    <cfRule type="containsText" dxfId="296" priority="218" operator="containsText" text="HEMOGLOBINA GLICOSILADA">
      <formula>NOT(ISERROR(SEARCH("HEMOGLOBINA GLICOSILADA",G129)))</formula>
    </cfRule>
    <cfRule type="containsText" dxfId="295" priority="219" operator="containsText" text="QUIMICA SANGUINEA">
      <formula>NOT(ISERROR(SEARCH("QUIMICA SANGUINEA",G129)))</formula>
    </cfRule>
    <cfRule type="containsText" dxfId="294" priority="220" operator="containsText" text="NO AYUNO">
      <formula>NOT(ISERROR(SEARCH("NO AYUNO",G129)))</formula>
    </cfRule>
    <cfRule type="containsText" dxfId="293" priority="221" operator="containsText" text="AYUNO">
      <formula>NOT(ISERROR(SEARCH("AYUNO",G129)))</formula>
    </cfRule>
  </conditionalFormatting>
  <conditionalFormatting sqref="H129:H138">
    <cfRule type="containsText" dxfId="292" priority="216" operator="containsText" text="FALTA">
      <formula>NOT(ISERROR(SEARCH("FALTA",H129)))</formula>
    </cfRule>
  </conditionalFormatting>
  <conditionalFormatting sqref="K129:K138 I129:I138 O130:O139">
    <cfRule type="containsText" dxfId="291" priority="209" operator="containsText" text="QUIMICA SANGUINEA">
      <formula>NOT(ISERROR(SEARCH("QUIMICA SANGUINEA",I129)))</formula>
    </cfRule>
    <cfRule type="containsText" dxfId="290" priority="210" operator="containsText" text="QUIMICA SANGUINEA + HEMOGLOBINA GLICOSILADA">
      <formula>NOT(ISERROR(SEARCH("QUIMICA SANGUINEA + HEMOGLOBINA GLICOSILADA",I129)))</formula>
    </cfRule>
    <cfRule type="containsText" dxfId="289" priority="211" operator="containsText" text="QUIMICA SANGUINEA">
      <formula>NOT(ISERROR(SEARCH("QUIMICA SANGUINEA",I129)))</formula>
    </cfRule>
    <cfRule type="containsText" priority="212" operator="containsText" text="QUIMICA SANGUINEA">
      <formula>NOT(ISERROR(SEARCH("QUIMICA SANGUINEA",I129)))</formula>
    </cfRule>
    <cfRule type="containsText" dxfId="288" priority="213" operator="containsText" text="HEMOGLOBINA GLICOSILADA">
      <formula>NOT(ISERROR(SEARCH("HEMOGLOBINA GLICOSILADA",I129)))</formula>
    </cfRule>
    <cfRule type="containsText" dxfId="287" priority="214" operator="containsText" text="NO AYUNO">
      <formula>NOT(ISERROR(SEARCH("NO AYUNO",I129)))</formula>
    </cfRule>
    <cfRule type="containsText" dxfId="286" priority="215" operator="containsText" text="AYUNO">
      <formula>NOT(ISERROR(SEARCH("AYUNO",I129)))</formula>
    </cfRule>
  </conditionalFormatting>
  <conditionalFormatting sqref="L129:L138 V130:V139 R130:R139 P130:P139 T130:T139">
    <cfRule type="containsText" dxfId="285" priority="204" operator="containsText" text="MODERADO">
      <formula>NOT(ISERROR(SEARCH("MODERADO",L129)))</formula>
    </cfRule>
    <cfRule type="containsText" dxfId="284" priority="205" operator="containsText" text="SANO">
      <formula>NOT(ISERROR(SEARCH("SANO",L129)))</formula>
    </cfRule>
    <cfRule type="containsText" dxfId="283" priority="206" operator="containsText" text="ALTO">
      <formula>NOT(ISERROR(SEARCH("ALTO",L129)))</formula>
    </cfRule>
    <cfRule type="containsText" dxfId="282" priority="207" operator="containsText" text="BAJO">
      <formula>NOT(ISERROR(SEARCH("BAJO",L129)))</formula>
    </cfRule>
    <cfRule type="containsText" dxfId="281" priority="208" operator="containsText" text="FALTA">
      <formula>NOT(ISERROR(SEARCH("FALTA",L129)))</formula>
    </cfRule>
  </conditionalFormatting>
  <conditionalFormatting sqref="L129:L138 V130:V139 R130:R139 P130:P139 T130:T139">
    <cfRule type="containsText" dxfId="280" priority="203" operator="containsText" text="N/A">
      <formula>NOT(ISERROR(SEARCH("N/A",L129)))</formula>
    </cfRule>
  </conditionalFormatting>
  <conditionalFormatting sqref="N129:N138 L129:L138 V130:V139 R130:R139 P130:P139 T130:T139">
    <cfRule type="containsText" dxfId="279" priority="202" operator="containsText" text="R. MODERADO">
      <formula>NOT(ISERROR(SEARCH("R. MODERADO",L129)))</formula>
    </cfRule>
  </conditionalFormatting>
  <conditionalFormatting sqref="N129:N138">
    <cfRule type="containsText" dxfId="278" priority="201" operator="containsText" text="MEDIO">
      <formula>NOT(ISERROR(SEARCH("MEDIO",N129)))</formula>
    </cfRule>
  </conditionalFormatting>
  <conditionalFormatting sqref="N129:N138">
    <cfRule type="containsText" dxfId="277" priority="196" operator="containsText" text="MODERADO">
      <formula>NOT(ISERROR(SEARCH("MODERADO",N129)))</formula>
    </cfRule>
    <cfRule type="containsText" dxfId="276" priority="197" operator="containsText" text="SANO">
      <formula>NOT(ISERROR(SEARCH("SANO",N129)))</formula>
    </cfRule>
    <cfRule type="containsText" dxfId="275" priority="198" operator="containsText" text="ALTO">
      <formula>NOT(ISERROR(SEARCH("ALTO",N129)))</formula>
    </cfRule>
    <cfRule type="containsText" dxfId="274" priority="199" operator="containsText" text="BAJO">
      <formula>NOT(ISERROR(SEARCH("BAJO",N129)))</formula>
    </cfRule>
    <cfRule type="containsText" dxfId="273" priority="200" operator="containsText" text="FALTA">
      <formula>NOT(ISERROR(SEARCH("FALTA",N129)))</formula>
    </cfRule>
  </conditionalFormatting>
  <conditionalFormatting sqref="N129:N138">
    <cfRule type="containsText" dxfId="272" priority="195" operator="containsText" text="N/A">
      <formula>NOT(ISERROR(SEARCH("N/A",N129)))</formula>
    </cfRule>
  </conditionalFormatting>
  <conditionalFormatting sqref="N129:N138">
    <cfRule type="containsText" dxfId="271" priority="189" operator="containsText" text="BAJO">
      <formula>NOT(ISERROR(SEARCH("BAJO",N129)))</formula>
    </cfRule>
    <cfRule type="containsText" dxfId="270" priority="190" operator="containsText" text="MODERADO">
      <formula>NOT(ISERROR(SEARCH("MODERADO",N129)))</formula>
    </cfRule>
    <cfRule type="containsText" dxfId="269" priority="191" operator="containsText" text="SANO">
      <formula>NOT(ISERROR(SEARCH("SANO",N129)))</formula>
    </cfRule>
    <cfRule type="containsText" dxfId="268" priority="192" operator="containsText" text="ALTO">
      <formula>NOT(ISERROR(SEARCH("ALTO",N129)))</formula>
    </cfRule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67" priority="194" operator="containsText" text="ALTO">
      <formula>NOT(ISERROR(SEARCH("ALTO",N129)))</formula>
    </cfRule>
  </conditionalFormatting>
  <conditionalFormatting sqref="O130:O139">
    <cfRule type="containsText" dxfId="266" priority="186" operator="containsText" text="N/A">
      <formula>NOT(ISERROR(SEARCH("N/A",O130)))</formula>
    </cfRule>
    <cfRule type="containsText" dxfId="265" priority="187" operator="containsText" text="HEMOGLOBINA GLUCOSILADA">
      <formula>NOT(ISERROR(SEARCH("HEMOGLOBINA GLUCOSILADA",O130)))</formula>
    </cfRule>
    <cfRule type="containsText" dxfId="264" priority="188" operator="containsText" text="HEMOGLOBINA GLUCOSILADA + QS">
      <formula>NOT(ISERROR(SEARCH("HEMOGLOBINA GLUCOSILADA + QS",O130)))</formula>
    </cfRule>
  </conditionalFormatting>
  <conditionalFormatting sqref="Q130:Q139">
    <cfRule type="containsText" dxfId="263" priority="182" operator="containsText" text="N/A">
      <formula>NOT(ISERROR(SEARCH("N/A",Q130)))</formula>
    </cfRule>
    <cfRule type="containsText" dxfId="262" priority="183" operator="containsText" text="NO AYUNO">
      <formula>NOT(ISERROR(SEARCH("NO AYUNO",Q130)))</formula>
    </cfRule>
    <cfRule type="containsText" dxfId="261" priority="184" operator="containsText" text="AYUNO">
      <formula>NOT(ISERROR(SEARCH("AYUNO",Q130)))</formula>
    </cfRule>
    <cfRule type="containsText" dxfId="260" priority="185" operator="containsText" text="QUIMICA SANGUINEA">
      <formula>NOT(ISERROR(SEARCH("QUIMICA SANGUINEA",Q130)))</formula>
    </cfRule>
  </conditionalFormatting>
  <conditionalFormatting sqref="S130:S139">
    <cfRule type="containsText" dxfId="259" priority="179" operator="containsText" text="N/A">
      <formula>NOT(ISERROR(SEARCH("N/A",S130)))</formula>
    </cfRule>
    <cfRule type="containsText" dxfId="258" priority="180" operator="containsText" text="NO AYUNO">
      <formula>NOT(ISERROR(SEARCH("NO AYUNO",S130)))</formula>
    </cfRule>
    <cfRule type="containsText" dxfId="257" priority="181" operator="containsText" text="AYUNO">
      <formula>NOT(ISERROR(SEARCH("AYUNO",S130)))</formula>
    </cfRule>
  </conditionalFormatting>
  <conditionalFormatting sqref="M129:M138">
    <cfRule type="containsText" dxfId="256" priority="175" operator="containsText" text="NO AYUNO">
      <formula>NOT(ISERROR(SEARCH("NO AYUNO",M129)))</formula>
    </cfRule>
    <cfRule type="containsText" dxfId="255" priority="176" operator="containsText" text="AYUNO">
      <formula>NOT(ISERROR(SEARCH("AYUNO",M129)))</formula>
    </cfRule>
    <cfRule type="containsText" dxfId="254" priority="177" operator="containsText" text="QUIMICA SANGUINEA">
      <formula>NOT(ISERROR(SEARCH("QUIMICA SANGUINEA",M129)))</formula>
    </cfRule>
    <cfRule type="containsText" dxfId="253" priority="178" operator="containsText" text="N/A">
      <formula>NOT(ISERROR(SEARCH("N/A",M129)))</formula>
    </cfRule>
  </conditionalFormatting>
  <conditionalFormatting sqref="V130:V139 R130:R139 P130:P139 T130:T139">
    <cfRule type="containsText" dxfId="252" priority="172" operator="containsText" text="FALTA">
      <formula>NOT(ISERROR(SEARCH("FALTA",P130)))</formula>
    </cfRule>
    <cfRule type="containsText" dxfId="251" priority="173" operator="containsText" text="R. ALTO">
      <formula>NOT(ISERROR(SEARCH("R. ALTO",P130)))</formula>
    </cfRule>
    <cfRule type="containsText" dxfId="250" priority="174" operator="containsText" text="SANO">
      <formula>NOT(ISERROR(SEARCH("SANO",P130)))</formula>
    </cfRule>
  </conditionalFormatting>
  <conditionalFormatting sqref="L129:L138">
    <cfRule type="containsText" dxfId="249" priority="166" operator="containsText" text="BAJO">
      <formula>NOT(ISERROR(SEARCH("BAJO",L129)))</formula>
    </cfRule>
    <cfRule type="containsText" dxfId="248" priority="167" operator="containsText" text="MODERADO">
      <formula>NOT(ISERROR(SEARCH("MODERADO",L129)))</formula>
    </cfRule>
    <cfRule type="containsText" dxfId="247" priority="168" operator="containsText" text="SANO">
      <formula>NOT(ISERROR(SEARCH("SANO",L129)))</formula>
    </cfRule>
    <cfRule type="containsText" dxfId="246" priority="169" operator="containsText" text="ALTO">
      <formula>NOT(ISERROR(SEARCH("ALTO",L129)))</formula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5" priority="171" operator="containsText" text="ALTO">
      <formula>NOT(ISERROR(SEARCH("ALTO",L129)))</formula>
    </cfRule>
  </conditionalFormatting>
  <conditionalFormatting sqref="T130:T139">
    <cfRule type="containsText" dxfId="244" priority="160" operator="containsText" text="BAJO">
      <formula>NOT(ISERROR(SEARCH("BAJO",T130)))</formula>
    </cfRule>
    <cfRule type="containsText" dxfId="243" priority="161" operator="containsText" text="MODERADO">
      <formula>NOT(ISERROR(SEARCH("MODERADO",T130)))</formula>
    </cfRule>
    <cfRule type="containsText" dxfId="242" priority="162" operator="containsText" text="SANO">
      <formula>NOT(ISERROR(SEARCH("SANO",T130)))</formula>
    </cfRule>
    <cfRule type="containsText" dxfId="241" priority="163" operator="containsText" text="ALTO">
      <formula>NOT(ISERROR(SEARCH("ALTO",T130)))</formula>
    </cfRule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40" priority="165" operator="containsText" text="ALTO">
      <formula>NOT(ISERROR(SEARCH("ALTO",T130)))</formula>
    </cfRule>
  </conditionalFormatting>
  <conditionalFormatting sqref="R130:R139">
    <cfRule type="containsText" dxfId="239" priority="154" operator="containsText" text="BAJO">
      <formula>NOT(ISERROR(SEARCH("BAJO",R130)))</formula>
    </cfRule>
    <cfRule type="containsText" dxfId="238" priority="155" operator="containsText" text="MODERADO">
      <formula>NOT(ISERROR(SEARCH("MODERADO",R130)))</formula>
    </cfRule>
    <cfRule type="containsText" dxfId="237" priority="156" operator="containsText" text="SANO">
      <formula>NOT(ISERROR(SEARCH("SANO",R130)))</formula>
    </cfRule>
    <cfRule type="containsText" dxfId="236" priority="157" operator="containsText" text="ALTO">
      <formula>NOT(ISERROR(SEARCH("ALTO",R130)))</formula>
    </cfRule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35" priority="159" operator="containsText" text="ALTO">
      <formula>NOT(ISERROR(SEARCH("ALTO",R130)))</formula>
    </cfRule>
  </conditionalFormatting>
  <conditionalFormatting sqref="P130:P139">
    <cfRule type="containsText" dxfId="234" priority="148" operator="containsText" text="BAJO">
      <formula>NOT(ISERROR(SEARCH("BAJO",P130)))</formula>
    </cfRule>
    <cfRule type="containsText" dxfId="233" priority="149" operator="containsText" text="MODERADO">
      <formula>NOT(ISERROR(SEARCH("MODERADO",P130)))</formula>
    </cfRule>
    <cfRule type="containsText" dxfId="232" priority="150" operator="containsText" text="SANO">
      <formula>NOT(ISERROR(SEARCH("SANO",P130)))</formula>
    </cfRule>
    <cfRule type="containsText" dxfId="231" priority="151" operator="containsText" text="ALTO">
      <formula>NOT(ISERROR(SEARCH("ALTO",P130)))</formula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30" priority="153" operator="containsText" text="ALTO">
      <formula>NOT(ISERROR(SEARCH("ALTO",P130)))</formula>
    </cfRule>
  </conditionalFormatting>
  <conditionalFormatting sqref="V130:V139">
    <cfRule type="containsText" dxfId="229" priority="142" operator="containsText" text="BAJO">
      <formula>NOT(ISERROR(SEARCH("BAJO",V130)))</formula>
    </cfRule>
    <cfRule type="containsText" dxfId="228" priority="143" operator="containsText" text="MODERADO">
      <formula>NOT(ISERROR(SEARCH("MODERADO",V130)))</formula>
    </cfRule>
    <cfRule type="containsText" dxfId="227" priority="144" operator="containsText" text="SANO">
      <formula>NOT(ISERROR(SEARCH("SANO",V130)))</formula>
    </cfRule>
    <cfRule type="containsText" dxfId="226" priority="145" operator="containsText" text="ALTO">
      <formula>NOT(ISERROR(SEARCH("ALTO",V130)))</formula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25" priority="147" operator="containsText" text="ALTO">
      <formula>NOT(ISERROR(SEARCH("ALTO",V130)))</formula>
    </cfRule>
  </conditionalFormatting>
  <conditionalFormatting sqref="N12">
    <cfRule type="containsText" dxfId="224" priority="73258" operator="containsText" text="BAJO">
      <formula>NOT(ISERROR(SEARCH("BAJO",N12)))</formula>
    </cfRule>
    <cfRule type="containsText" dxfId="223" priority="73259" operator="containsText" text="MODERADO">
      <formula>NOT(ISERROR(SEARCH("MODERADO",N12)))</formula>
    </cfRule>
    <cfRule type="containsText" dxfId="222" priority="73260" operator="containsText" text="SANO">
      <formula>NOT(ISERROR(SEARCH("SANO",N12)))</formula>
    </cfRule>
    <cfRule type="containsText" dxfId="221" priority="73261" operator="containsText" text="ALTO">
      <formula>NOT(ISERROR(SEARCH("ALTO",N12)))</formula>
    </cfRule>
    <cfRule type="colorScale" priority="7326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20" priority="73263" operator="containsText" text="ALTO">
      <formula>NOT(ISERROR(SEARCH("ALTO",N12)))</formula>
    </cfRule>
  </conditionalFormatting>
  <conditionalFormatting sqref="N5">
    <cfRule type="containsText" dxfId="219" priority="92417" operator="containsText" text="BAJO">
      <formula>NOT(ISERROR(SEARCH("BAJO",N5)))</formula>
    </cfRule>
    <cfRule type="containsText" dxfId="218" priority="92418" operator="containsText" text="MODERADO">
      <formula>NOT(ISERROR(SEARCH("MODERADO",N5)))</formula>
    </cfRule>
    <cfRule type="containsText" dxfId="217" priority="92419" operator="containsText" text="SANO">
      <formula>NOT(ISERROR(SEARCH("SANO",N5)))</formula>
    </cfRule>
    <cfRule type="containsText" dxfId="216" priority="92420" operator="containsText" text="ALTO">
      <formula>NOT(ISERROR(SEARCH("ALTO",N5)))</formula>
    </cfRule>
    <cfRule type="colorScale" priority="9242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15" priority="92422" operator="containsText" text="ALTO">
      <formula>NOT(ISERROR(SEARCH("ALTO",N5)))</formula>
    </cfRule>
  </conditionalFormatting>
  <conditionalFormatting sqref="L43:L49">
    <cfRule type="containsText" dxfId="214" priority="92670" operator="containsText" text="BAJO">
      <formula>NOT(ISERROR(SEARCH("BAJO",L43)))</formula>
    </cfRule>
    <cfRule type="containsText" dxfId="213" priority="92671" operator="containsText" text="MODERADO">
      <formula>NOT(ISERROR(SEARCH("MODERADO",L43)))</formula>
    </cfRule>
    <cfRule type="containsText" dxfId="212" priority="92672" operator="containsText" text="SANO">
      <formula>NOT(ISERROR(SEARCH("SANO",L43)))</formula>
    </cfRule>
    <cfRule type="containsText" dxfId="211" priority="92673" operator="containsText" text="ALTO">
      <formula>NOT(ISERROR(SEARCH("ALTO",L43)))</formula>
    </cfRule>
    <cfRule type="colorScale" priority="9267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10" priority="92675" operator="containsText" text="ALTO">
      <formula>NOT(ISERROR(SEARCH("ALTO",L43)))</formula>
    </cfRule>
  </conditionalFormatting>
  <conditionalFormatting sqref="N81">
    <cfRule type="containsText" dxfId="209" priority="93313" operator="containsText" text="BAJO">
      <formula>NOT(ISERROR(SEARCH("BAJO",N81)))</formula>
    </cfRule>
    <cfRule type="containsText" dxfId="208" priority="93314" operator="containsText" text="MODERADO">
      <formula>NOT(ISERROR(SEARCH("MODERADO",N81)))</formula>
    </cfRule>
    <cfRule type="containsText" dxfId="207" priority="93315" operator="containsText" text="SANO">
      <formula>NOT(ISERROR(SEARCH("SANO",N81)))</formula>
    </cfRule>
    <cfRule type="containsText" dxfId="206" priority="93316" operator="containsText" text="ALTO">
      <formula>NOT(ISERROR(SEARCH("ALTO",N81)))</formula>
    </cfRule>
    <cfRule type="colorScale" priority="9331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05" priority="93318" operator="containsText" text="ALTO">
      <formula>NOT(ISERROR(SEARCH("ALTO",N81)))</formula>
    </cfRule>
  </conditionalFormatting>
  <conditionalFormatting sqref="N125:N128">
    <cfRule type="containsText" dxfId="204" priority="93340" operator="containsText" text="BAJO">
      <formula>NOT(ISERROR(SEARCH("BAJO",N125)))</formula>
    </cfRule>
    <cfRule type="containsText" dxfId="203" priority="93341" operator="containsText" text="MODERADO">
      <formula>NOT(ISERROR(SEARCH("MODERADO",N125)))</formula>
    </cfRule>
    <cfRule type="containsText" dxfId="202" priority="93342" operator="containsText" text="SANO">
      <formula>NOT(ISERROR(SEARCH("SANO",N125)))</formula>
    </cfRule>
    <cfRule type="containsText" dxfId="201" priority="93343" operator="containsText" text="ALTO">
      <formula>NOT(ISERROR(SEARCH("ALTO",N125)))</formula>
    </cfRule>
    <cfRule type="colorScale" priority="9334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00" priority="93345" operator="containsText" text="ALTO">
      <formula>NOT(ISERROR(SEARCH("ALTO",N125)))</formula>
    </cfRule>
  </conditionalFormatting>
  <conditionalFormatting sqref="N108:N114">
    <cfRule type="containsText" dxfId="199" priority="93771" operator="containsText" text="BAJO">
      <formula>NOT(ISERROR(SEARCH("BAJO",N108)))</formula>
    </cfRule>
    <cfRule type="containsText" dxfId="198" priority="93772" operator="containsText" text="MODERADO">
      <formula>NOT(ISERROR(SEARCH("MODERADO",N108)))</formula>
    </cfRule>
    <cfRule type="containsText" dxfId="197" priority="93773" operator="containsText" text="SANO">
      <formula>NOT(ISERROR(SEARCH("SANO",N108)))</formula>
    </cfRule>
    <cfRule type="containsText" dxfId="196" priority="93774" operator="containsText" text="ALTO">
      <formula>NOT(ISERROR(SEARCH("ALTO",N108)))</formula>
    </cfRule>
    <cfRule type="colorScale" priority="9377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95" priority="93776" operator="containsText" text="ALTO">
      <formula>NOT(ISERROR(SEARCH("ALTO",N108)))</formula>
    </cfRule>
  </conditionalFormatting>
  <conditionalFormatting sqref="N116:N121">
    <cfRule type="containsText" dxfId="194" priority="95011" operator="containsText" text="BAJO">
      <formula>NOT(ISERROR(SEARCH("BAJO",N116)))</formula>
    </cfRule>
    <cfRule type="containsText" dxfId="193" priority="95012" operator="containsText" text="MODERADO">
      <formula>NOT(ISERROR(SEARCH("MODERADO",N116)))</formula>
    </cfRule>
    <cfRule type="containsText" dxfId="192" priority="95013" operator="containsText" text="SANO">
      <formula>NOT(ISERROR(SEARCH("SANO",N116)))</formula>
    </cfRule>
    <cfRule type="containsText" dxfId="191" priority="95014" operator="containsText" text="ALTO">
      <formula>NOT(ISERROR(SEARCH("ALTO",N116)))</formula>
    </cfRule>
    <cfRule type="colorScale" priority="9501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90" priority="95016" operator="containsText" text="ALTO">
      <formula>NOT(ISERROR(SEARCH("ALTO",N116)))</formula>
    </cfRule>
  </conditionalFormatting>
  <conditionalFormatting sqref="T84:T129 T79:T82 T4:T77">
    <cfRule type="containsText" dxfId="189" priority="95113" operator="containsText" text="BAJO">
      <formula>NOT(ISERROR(SEARCH("BAJO",T4)))</formula>
    </cfRule>
    <cfRule type="containsText" dxfId="188" priority="95114" operator="containsText" text="MODERADO">
      <formula>NOT(ISERROR(SEARCH("MODERADO",T4)))</formula>
    </cfRule>
    <cfRule type="containsText" dxfId="187" priority="95115" operator="containsText" text="SANO">
      <formula>NOT(ISERROR(SEARCH("SANO",T4)))</formula>
    </cfRule>
    <cfRule type="containsText" dxfId="186" priority="95116" operator="containsText" text="ALTO">
      <formula>NOT(ISERROR(SEARCH("ALTO",T4)))</formula>
    </cfRule>
    <cfRule type="colorScale" priority="9511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85" priority="95118" operator="containsText" text="ALTO">
      <formula>NOT(ISERROR(SEARCH("ALTO",T4)))</formula>
    </cfRule>
  </conditionalFormatting>
  <conditionalFormatting sqref="R84:R129 R80:R82 R4:R78">
    <cfRule type="containsText" dxfId="184" priority="95137" operator="containsText" text="BAJO">
      <formula>NOT(ISERROR(SEARCH("BAJO",R4)))</formula>
    </cfRule>
    <cfRule type="containsText" dxfId="183" priority="95138" operator="containsText" text="MODERADO">
      <formula>NOT(ISERROR(SEARCH("MODERADO",R4)))</formula>
    </cfRule>
    <cfRule type="containsText" dxfId="182" priority="95139" operator="containsText" text="SANO">
      <formula>NOT(ISERROR(SEARCH("SANO",R4)))</formula>
    </cfRule>
    <cfRule type="containsText" dxfId="181" priority="95140" operator="containsText" text="ALTO">
      <formula>NOT(ISERROR(SEARCH("ALTO",R4)))</formula>
    </cfRule>
    <cfRule type="colorScale" priority="9514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80" priority="95142" operator="containsText" text="ALTO">
      <formula>NOT(ISERROR(SEARCH("ALTO",R4)))</formula>
    </cfRule>
  </conditionalFormatting>
  <conditionalFormatting sqref="P84:P129 P80:P82 P4:P78">
    <cfRule type="containsText" dxfId="179" priority="95161" operator="containsText" text="BAJO">
      <formula>NOT(ISERROR(SEARCH("BAJO",P4)))</formula>
    </cfRule>
    <cfRule type="containsText" dxfId="178" priority="95162" operator="containsText" text="MODERADO">
      <formula>NOT(ISERROR(SEARCH("MODERADO",P4)))</formula>
    </cfRule>
    <cfRule type="containsText" dxfId="177" priority="95163" operator="containsText" text="SANO">
      <formula>NOT(ISERROR(SEARCH("SANO",P4)))</formula>
    </cfRule>
    <cfRule type="containsText" dxfId="176" priority="95164" operator="containsText" text="ALTO">
      <formula>NOT(ISERROR(SEARCH("ALTO",P4)))</formula>
    </cfRule>
    <cfRule type="colorScale" priority="9516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75" priority="95166" operator="containsText" text="ALTO">
      <formula>NOT(ISERROR(SEARCH("ALTO",P4)))</formula>
    </cfRule>
  </conditionalFormatting>
  <conditionalFormatting sqref="V84:V129 V80:V82 V4:V78">
    <cfRule type="containsText" dxfId="174" priority="95185" operator="containsText" text="BAJO">
      <formula>NOT(ISERROR(SEARCH("BAJO",V4)))</formula>
    </cfRule>
    <cfRule type="containsText" dxfId="173" priority="95186" operator="containsText" text="MODERADO">
      <formula>NOT(ISERROR(SEARCH("MODERADO",V4)))</formula>
    </cfRule>
    <cfRule type="containsText" dxfId="172" priority="95187" operator="containsText" text="SANO">
      <formula>NOT(ISERROR(SEARCH("SANO",V4)))</formula>
    </cfRule>
    <cfRule type="containsText" dxfId="171" priority="95188" operator="containsText" text="ALTO">
      <formula>NOT(ISERROR(SEARCH("ALTO",V4)))</formula>
    </cfRule>
    <cfRule type="colorScale" priority="9518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70" priority="95190" operator="containsText" text="ALTO">
      <formula>NOT(ISERROR(SEARCH("ALTO",V4)))</formula>
    </cfRule>
  </conditionalFormatting>
  <conditionalFormatting sqref="C4:C50">
    <cfRule type="containsText" dxfId="169" priority="132" operator="containsText" text="MODERADO">
      <formula>NOT(ISERROR(SEARCH("MODERADO",C4)))</formula>
    </cfRule>
    <cfRule type="containsText" dxfId="168" priority="133" operator="containsText" text="SANO">
      <formula>NOT(ISERROR(SEARCH("SANO",C4)))</formula>
    </cfRule>
    <cfRule type="containsText" dxfId="167" priority="134" operator="containsText" text="ALTO">
      <formula>NOT(ISERROR(SEARCH("ALTO",C4)))</formula>
    </cfRule>
    <cfRule type="containsText" dxfId="166" priority="135" operator="containsText" text="BAJO">
      <formula>NOT(ISERROR(SEARCH("BAJO",C4)))</formula>
    </cfRule>
    <cfRule type="containsText" dxfId="165" priority="136" operator="containsText" text="FALTA">
      <formula>NOT(ISERROR(SEARCH("FALTA",C4)))</formula>
    </cfRule>
  </conditionalFormatting>
  <conditionalFormatting sqref="C4:C50">
    <cfRule type="containsText" dxfId="164" priority="131" operator="containsText" text="N/A">
      <formula>NOT(ISERROR(SEARCH("N/A",C4)))</formula>
    </cfRule>
  </conditionalFormatting>
  <conditionalFormatting sqref="C4:C50">
    <cfRule type="containsText" dxfId="163" priority="130" operator="containsText" text="MEDIO">
      <formula>NOT(ISERROR(SEARCH("MEDIO",C4)))</formula>
    </cfRule>
  </conditionalFormatting>
  <conditionalFormatting sqref="C4:C50">
    <cfRule type="containsText" dxfId="162" priority="129" operator="containsText" text="R. MODERADO">
      <formula>NOT(ISERROR(SEARCH("R. MODERADO",C4)))</formula>
    </cfRule>
  </conditionalFormatting>
  <conditionalFormatting sqref="C4:C50">
    <cfRule type="containsText" dxfId="161" priority="126" operator="containsText" text="FALTA">
      <formula>NOT(ISERROR(SEARCH("FALTA",C4)))</formula>
    </cfRule>
    <cfRule type="containsText" dxfId="160" priority="127" operator="containsText" text="R. ALTO">
      <formula>NOT(ISERROR(SEARCH("R. ALTO",C4)))</formula>
    </cfRule>
    <cfRule type="containsText" dxfId="159" priority="128" operator="containsText" text="SANO">
      <formula>NOT(ISERROR(SEARCH("SANO",C4)))</formula>
    </cfRule>
  </conditionalFormatting>
  <conditionalFormatting sqref="C4:C50">
    <cfRule type="containsText" dxfId="158" priority="120" operator="containsText" text="BAJO">
      <formula>NOT(ISERROR(SEARCH("BAJO",C4)))</formula>
    </cfRule>
    <cfRule type="containsText" dxfId="157" priority="121" operator="containsText" text="MODERADO">
      <formula>NOT(ISERROR(SEARCH("MODERADO",C4)))</formula>
    </cfRule>
    <cfRule type="containsText" dxfId="156" priority="122" operator="containsText" text="SANO">
      <formula>NOT(ISERROR(SEARCH("SANO",C4)))</formula>
    </cfRule>
    <cfRule type="containsText" dxfId="155" priority="123" operator="containsText" text="ALTO">
      <formula>NOT(ISERROR(SEARCH("ALTO",C4)))</formula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4" priority="125" operator="containsText" text="ALTO">
      <formula>NOT(ISERROR(SEARCH("ALTO",C4)))</formula>
    </cfRule>
  </conditionalFormatting>
  <conditionalFormatting sqref="C48">
    <cfRule type="containsText" dxfId="153" priority="114" operator="containsText" text="BAJO">
      <formula>NOT(ISERROR(SEARCH("BAJO",C48)))</formula>
    </cfRule>
    <cfRule type="containsText" dxfId="152" priority="115" operator="containsText" text="MODERADO">
      <formula>NOT(ISERROR(SEARCH("MODERADO",C48)))</formula>
    </cfRule>
    <cfRule type="containsText" dxfId="151" priority="116" operator="containsText" text="SANO">
      <formula>NOT(ISERROR(SEARCH("SANO",C48)))</formula>
    </cfRule>
    <cfRule type="containsText" dxfId="150" priority="117" operator="containsText" text="ALTO">
      <formula>NOT(ISERROR(SEARCH("ALTO",C48)))</formula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49" priority="119" operator="containsText" text="ALTO">
      <formula>NOT(ISERROR(SEARCH("ALTO",C48)))</formula>
    </cfRule>
  </conditionalFormatting>
  <conditionalFormatting sqref="C51:C103">
    <cfRule type="containsText" dxfId="148" priority="109" operator="containsText" text="MODERADO">
      <formula>NOT(ISERROR(SEARCH("MODERADO",C51)))</formula>
    </cfRule>
    <cfRule type="containsText" dxfId="147" priority="110" operator="containsText" text="SANO">
      <formula>NOT(ISERROR(SEARCH("SANO",C51)))</formula>
    </cfRule>
    <cfRule type="containsText" dxfId="146" priority="111" operator="containsText" text="ALTO">
      <formula>NOT(ISERROR(SEARCH("ALTO",C51)))</formula>
    </cfRule>
    <cfRule type="containsText" dxfId="145" priority="112" operator="containsText" text="BAJO">
      <formula>NOT(ISERROR(SEARCH("BAJO",C51)))</formula>
    </cfRule>
    <cfRule type="containsText" dxfId="144" priority="113" operator="containsText" text="FALTA">
      <formula>NOT(ISERROR(SEARCH("FALTA",C51)))</formula>
    </cfRule>
  </conditionalFormatting>
  <conditionalFormatting sqref="C51:C103">
    <cfRule type="containsText" dxfId="143" priority="108" operator="containsText" text="N/A">
      <formula>NOT(ISERROR(SEARCH("N/A",C51)))</formula>
    </cfRule>
  </conditionalFormatting>
  <conditionalFormatting sqref="C51:C103">
    <cfRule type="containsText" dxfId="142" priority="107" operator="containsText" text="MEDIO">
      <formula>NOT(ISERROR(SEARCH("MEDIO",C51)))</formula>
    </cfRule>
  </conditionalFormatting>
  <conditionalFormatting sqref="C51:C103">
    <cfRule type="containsText" dxfId="141" priority="106" operator="containsText" text="R. MODERADO">
      <formula>NOT(ISERROR(SEARCH("R. MODERADO",C51)))</formula>
    </cfRule>
  </conditionalFormatting>
  <conditionalFormatting sqref="C51:C103">
    <cfRule type="containsText" dxfId="140" priority="103" operator="containsText" text="FALTA">
      <formula>NOT(ISERROR(SEARCH("FALTA",C51)))</formula>
    </cfRule>
    <cfRule type="containsText" dxfId="139" priority="104" operator="containsText" text="R. ALTO">
      <formula>NOT(ISERROR(SEARCH("R. ALTO",C51)))</formula>
    </cfRule>
    <cfRule type="containsText" dxfId="138" priority="105" operator="containsText" text="SANO">
      <formula>NOT(ISERROR(SEARCH("SANO",C51)))</formula>
    </cfRule>
  </conditionalFormatting>
  <conditionalFormatting sqref="C51:C103">
    <cfRule type="containsText" dxfId="137" priority="97" operator="containsText" text="BAJO">
      <formula>NOT(ISERROR(SEARCH("BAJO",C51)))</formula>
    </cfRule>
    <cfRule type="containsText" dxfId="136" priority="98" operator="containsText" text="MODERADO">
      <formula>NOT(ISERROR(SEARCH("MODERADO",C51)))</formula>
    </cfRule>
    <cfRule type="containsText" dxfId="135" priority="99" operator="containsText" text="SANO">
      <formula>NOT(ISERROR(SEARCH("SANO",C51)))</formula>
    </cfRule>
    <cfRule type="containsText" dxfId="134" priority="100" operator="containsText" text="ALTO">
      <formula>NOT(ISERROR(SEARCH("ALTO",C51)))</formula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3" priority="102" operator="containsText" text="ALTO">
      <formula>NOT(ISERROR(SEARCH("ALTO",C51)))</formula>
    </cfRule>
  </conditionalFormatting>
  <conditionalFormatting sqref="C103">
    <cfRule type="containsText" dxfId="132" priority="91" operator="containsText" text="BAJO">
      <formula>NOT(ISERROR(SEARCH("BAJO",C103)))</formula>
    </cfRule>
    <cfRule type="containsText" dxfId="131" priority="92" operator="containsText" text="MODERADO">
      <formula>NOT(ISERROR(SEARCH("MODERADO",C103)))</formula>
    </cfRule>
    <cfRule type="containsText" dxfId="130" priority="93" operator="containsText" text="SANO">
      <formula>NOT(ISERROR(SEARCH("SANO",C103)))</formula>
    </cfRule>
    <cfRule type="containsText" dxfId="129" priority="94" operator="containsText" text="ALTO">
      <formula>NOT(ISERROR(SEARCH("ALTO",C103)))</formula>
    </cfRule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8" priority="96" operator="containsText" text="ALTO">
      <formula>NOT(ISERROR(SEARCH("ALTO",C103)))</formula>
    </cfRule>
  </conditionalFormatting>
  <conditionalFormatting sqref="C138:C141 C104:C136">
    <cfRule type="containsText" dxfId="127" priority="86" operator="containsText" text="MODERADO">
      <formula>NOT(ISERROR(SEARCH("MODERADO",C104)))</formula>
    </cfRule>
    <cfRule type="containsText" dxfId="126" priority="87" operator="containsText" text="SANO">
      <formula>NOT(ISERROR(SEARCH("SANO",C104)))</formula>
    </cfRule>
    <cfRule type="containsText" dxfId="125" priority="88" operator="containsText" text="ALTO">
      <formula>NOT(ISERROR(SEARCH("ALTO",C104)))</formula>
    </cfRule>
    <cfRule type="containsText" dxfId="124" priority="89" operator="containsText" text="BAJO">
      <formula>NOT(ISERROR(SEARCH("BAJO",C104)))</formula>
    </cfRule>
    <cfRule type="containsText" dxfId="123" priority="90" operator="containsText" text="FALTA">
      <formula>NOT(ISERROR(SEARCH("FALTA",C104)))</formula>
    </cfRule>
  </conditionalFormatting>
  <conditionalFormatting sqref="C138:C141 C104:C136">
    <cfRule type="containsText" dxfId="122" priority="85" operator="containsText" text="N/A">
      <formula>NOT(ISERROR(SEARCH("N/A",C104)))</formula>
    </cfRule>
  </conditionalFormatting>
  <conditionalFormatting sqref="C104:C136 C138:C141">
    <cfRule type="containsText" dxfId="121" priority="84" operator="containsText" text="MEDIO">
      <formula>NOT(ISERROR(SEARCH("MEDIO",C104)))</formula>
    </cfRule>
  </conditionalFormatting>
  <conditionalFormatting sqref="C138:C141 C104:C134">
    <cfRule type="containsText" dxfId="120" priority="83" operator="containsText" text="R. MODERADO">
      <formula>NOT(ISERROR(SEARCH("R. MODERADO",C104)))</formula>
    </cfRule>
  </conditionalFormatting>
  <conditionalFormatting sqref="C138:C141 C104:C134">
    <cfRule type="containsText" dxfId="119" priority="80" operator="containsText" text="FALTA">
      <formula>NOT(ISERROR(SEARCH("FALTA",C104)))</formula>
    </cfRule>
    <cfRule type="containsText" dxfId="118" priority="81" operator="containsText" text="R. ALTO">
      <formula>NOT(ISERROR(SEARCH("R. ALTO",C104)))</formula>
    </cfRule>
    <cfRule type="containsText" dxfId="117" priority="82" operator="containsText" text="SANO">
      <formula>NOT(ISERROR(SEARCH("SANO",C104)))</formula>
    </cfRule>
  </conditionalFormatting>
  <conditionalFormatting sqref="C135:C136">
    <cfRule type="containsText" dxfId="116" priority="79" operator="containsText" text="R. MODERADO">
      <formula>NOT(ISERROR(SEARCH("R. MODERADO",C135)))</formula>
    </cfRule>
  </conditionalFormatting>
  <conditionalFormatting sqref="C135:C136">
    <cfRule type="containsText" dxfId="115" priority="76" operator="containsText" text="FALTA">
      <formula>NOT(ISERROR(SEARCH("FALTA",C135)))</formula>
    </cfRule>
    <cfRule type="containsText" dxfId="114" priority="77" operator="containsText" text="R. ALTO">
      <formula>NOT(ISERROR(SEARCH("R. ALTO",C135)))</formula>
    </cfRule>
    <cfRule type="containsText" dxfId="113" priority="78" operator="containsText" text="SANO">
      <formula>NOT(ISERROR(SEARCH("SANO",C135)))</formula>
    </cfRule>
  </conditionalFormatting>
  <conditionalFormatting sqref="C133:C136">
    <cfRule type="containsText" dxfId="112" priority="70" operator="containsText" text="BAJO">
      <formula>NOT(ISERROR(SEARCH("BAJO",C133)))</formula>
    </cfRule>
    <cfRule type="containsText" dxfId="111" priority="71" operator="containsText" text="MODERADO">
      <formula>NOT(ISERROR(SEARCH("MODERADO",C133)))</formula>
    </cfRule>
    <cfRule type="containsText" dxfId="110" priority="72" operator="containsText" text="SANO">
      <formula>NOT(ISERROR(SEARCH("SANO",C133)))</formula>
    </cfRule>
    <cfRule type="containsText" dxfId="109" priority="73" operator="containsText" text="ALTO">
      <formula>NOT(ISERROR(SEARCH("ALTO",C133)))</formula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8" priority="75" operator="containsText" text="ALTO">
      <formula>NOT(ISERROR(SEARCH("ALTO",C133)))</formula>
    </cfRule>
  </conditionalFormatting>
  <conditionalFormatting sqref="C138:C141 C104:C132">
    <cfRule type="containsText" dxfId="107" priority="64" operator="containsText" text="BAJO">
      <formula>NOT(ISERROR(SEARCH("BAJO",C104)))</formula>
    </cfRule>
    <cfRule type="containsText" dxfId="106" priority="65" operator="containsText" text="MODERADO">
      <formula>NOT(ISERROR(SEARCH("MODERADO",C104)))</formula>
    </cfRule>
    <cfRule type="containsText" dxfId="105" priority="66" operator="containsText" text="SANO">
      <formula>NOT(ISERROR(SEARCH("SANO",C104)))</formula>
    </cfRule>
    <cfRule type="containsText" dxfId="104" priority="67" operator="containsText" text="ALTO">
      <formula>NOT(ISERROR(SEARCH("ALTO",C104)))</formula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3" priority="69" operator="containsText" text="ALTO">
      <formula>NOT(ISERROR(SEARCH("ALTO",C104)))</formula>
    </cfRule>
  </conditionalFormatting>
  <conditionalFormatting sqref="C137">
    <cfRule type="containsText" dxfId="102" priority="59" operator="containsText" text="MODERADO">
      <formula>NOT(ISERROR(SEARCH("MODERADO",C137)))</formula>
    </cfRule>
    <cfRule type="containsText" dxfId="101" priority="60" operator="containsText" text="SANO">
      <formula>NOT(ISERROR(SEARCH("SANO",C137)))</formula>
    </cfRule>
    <cfRule type="containsText" dxfId="100" priority="61" operator="containsText" text="ALTO">
      <formula>NOT(ISERROR(SEARCH("ALTO",C137)))</formula>
    </cfRule>
    <cfRule type="containsText" dxfId="99" priority="62" operator="containsText" text="BAJO">
      <formula>NOT(ISERROR(SEARCH("BAJO",C137)))</formula>
    </cfRule>
    <cfRule type="containsText" dxfId="98" priority="63" operator="containsText" text="FALTA">
      <formula>NOT(ISERROR(SEARCH("FALTA",C137)))</formula>
    </cfRule>
  </conditionalFormatting>
  <conditionalFormatting sqref="C137">
    <cfRule type="containsText" dxfId="97" priority="58" operator="containsText" text="N/A">
      <formula>NOT(ISERROR(SEARCH("N/A",C137)))</formula>
    </cfRule>
  </conditionalFormatting>
  <conditionalFormatting sqref="C137">
    <cfRule type="containsText" dxfId="96" priority="57" operator="containsText" text="MEDIO">
      <formula>NOT(ISERROR(SEARCH("MEDIO",C137)))</formula>
    </cfRule>
  </conditionalFormatting>
  <conditionalFormatting sqref="C137">
    <cfRule type="containsText" dxfId="95" priority="56" operator="containsText" text="R. MODERADO">
      <formula>NOT(ISERROR(SEARCH("R. MODERADO",C137)))</formula>
    </cfRule>
  </conditionalFormatting>
  <conditionalFormatting sqref="C137">
    <cfRule type="containsText" dxfId="94" priority="53" operator="containsText" text="FALTA">
      <formula>NOT(ISERROR(SEARCH("FALTA",C137)))</formula>
    </cfRule>
    <cfRule type="containsText" dxfId="93" priority="54" operator="containsText" text="R. ALTO">
      <formula>NOT(ISERROR(SEARCH("R. ALTO",C137)))</formula>
    </cfRule>
    <cfRule type="containsText" dxfId="92" priority="55" operator="containsText" text="SANO">
      <formula>NOT(ISERROR(SEARCH("SANO",C137)))</formula>
    </cfRule>
  </conditionalFormatting>
  <conditionalFormatting sqref="C137">
    <cfRule type="containsText" dxfId="91" priority="47" operator="containsText" text="BAJO">
      <formula>NOT(ISERROR(SEARCH("BAJO",C137)))</formula>
    </cfRule>
    <cfRule type="containsText" dxfId="90" priority="48" operator="containsText" text="MODERADO">
      <formula>NOT(ISERROR(SEARCH("MODERADO",C137)))</formula>
    </cfRule>
    <cfRule type="containsText" dxfId="89" priority="49" operator="containsText" text="SANO">
      <formula>NOT(ISERROR(SEARCH("SANO",C137)))</formula>
    </cfRule>
    <cfRule type="containsText" dxfId="88" priority="50" operator="containsText" text="ALTO">
      <formula>NOT(ISERROR(SEARCH("ALTO",C137)))</formula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7" priority="52" operator="containsText" text="ALTO">
      <formula>NOT(ISERROR(SEARCH("ALTO",C137)))</formula>
    </cfRule>
  </conditionalFormatting>
  <conditionalFormatting sqref="C112">
    <cfRule type="containsText" dxfId="86" priority="41" operator="containsText" text="BAJO">
      <formula>NOT(ISERROR(SEARCH("BAJO",C112)))</formula>
    </cfRule>
    <cfRule type="containsText" dxfId="85" priority="42" operator="containsText" text="MODERADO">
      <formula>NOT(ISERROR(SEARCH("MODERADO",C112)))</formula>
    </cfRule>
    <cfRule type="containsText" dxfId="84" priority="43" operator="containsText" text="SANO">
      <formula>NOT(ISERROR(SEARCH("SANO",C112)))</formula>
    </cfRule>
    <cfRule type="containsText" dxfId="83" priority="44" operator="containsText" text="ALTO">
      <formula>NOT(ISERROR(SEARCH("ALTO",C112)))</formula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82" priority="46" operator="containsText" text="ALTO">
      <formula>NOT(ISERROR(SEARCH("ALTO",C112)))</formula>
    </cfRule>
  </conditionalFormatting>
  <conditionalFormatting sqref="N139:N140">
    <cfRule type="containsText" dxfId="81" priority="95735" operator="containsText" text="BAJO">
      <formula>NOT(ISERROR(SEARCH("BAJO",N139)))</formula>
    </cfRule>
    <cfRule type="containsText" dxfId="80" priority="95736" operator="containsText" text="MODERADO">
      <formula>NOT(ISERROR(SEARCH("MODERADO",N139)))</formula>
    </cfRule>
    <cfRule type="containsText" dxfId="79" priority="95737" operator="containsText" text="SANO">
      <formula>NOT(ISERROR(SEARCH("SANO",N139)))</formula>
    </cfRule>
    <cfRule type="containsText" dxfId="78" priority="95738" operator="containsText" text="ALTO">
      <formula>NOT(ISERROR(SEARCH("ALTO",N139)))</formula>
    </cfRule>
    <cfRule type="colorScale" priority="9573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7" priority="95740" operator="containsText" text="ALTO">
      <formula>NOT(ISERROR(SEARCH("ALTO",N139)))</formula>
    </cfRule>
  </conditionalFormatting>
  <conditionalFormatting sqref="V140 V114">
    <cfRule type="containsText" dxfId="76" priority="95783" operator="containsText" text="BAJO">
      <formula>NOT(ISERROR(SEARCH("BAJO",V114)))</formula>
    </cfRule>
    <cfRule type="containsText" dxfId="75" priority="95784" operator="containsText" text="MODERADO">
      <formula>NOT(ISERROR(SEARCH("MODERADO",V114)))</formula>
    </cfRule>
    <cfRule type="containsText" dxfId="74" priority="95785" operator="containsText" text="SANO">
      <formula>NOT(ISERROR(SEARCH("SANO",V114)))</formula>
    </cfRule>
    <cfRule type="containsText" dxfId="73" priority="95786" operator="containsText" text="ALTO">
      <formula>NOT(ISERROR(SEARCH("ALTO",V114)))</formula>
    </cfRule>
    <cfRule type="colorScale" priority="9578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2" priority="95788" operator="containsText" text="ALTO">
      <formula>NOT(ISERROR(SEARCH("ALTO",V114)))</formula>
    </cfRule>
  </conditionalFormatting>
  <conditionalFormatting sqref="L139:L141">
    <cfRule type="containsText" dxfId="71" priority="95795" operator="containsText" text="BAJO">
      <formula>NOT(ISERROR(SEARCH("BAJO",L139)))</formula>
    </cfRule>
    <cfRule type="containsText" dxfId="70" priority="95796" operator="containsText" text="MODERADO">
      <formula>NOT(ISERROR(SEARCH("MODERADO",L139)))</formula>
    </cfRule>
    <cfRule type="containsText" dxfId="69" priority="95797" operator="containsText" text="SANO">
      <formula>NOT(ISERROR(SEARCH("SANO",L139)))</formula>
    </cfRule>
    <cfRule type="containsText" dxfId="68" priority="95798" operator="containsText" text="ALTO">
      <formula>NOT(ISERROR(SEARCH("ALTO",L139)))</formula>
    </cfRule>
    <cfRule type="colorScale" priority="9579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67" priority="95800" operator="containsText" text="ALTO">
      <formula>NOT(ISERROR(SEARCH("ALTO",L139)))</formula>
    </cfRule>
  </conditionalFormatting>
  <conditionalFormatting sqref="F132:F141">
    <cfRule type="containsText" dxfId="66" priority="36" operator="containsText" text="MODERADO">
      <formula>NOT(ISERROR(SEARCH("MODERADO",F132)))</formula>
    </cfRule>
    <cfRule type="containsText" dxfId="65" priority="37" operator="containsText" text="SANO">
      <formula>NOT(ISERROR(SEARCH("SANO",F132)))</formula>
    </cfRule>
    <cfRule type="containsText" dxfId="64" priority="38" operator="containsText" text="ALTO">
      <formula>NOT(ISERROR(SEARCH("ALTO",F132)))</formula>
    </cfRule>
    <cfRule type="containsText" dxfId="63" priority="39" operator="containsText" text="BAJO">
      <formula>NOT(ISERROR(SEARCH("BAJO",F132)))</formula>
    </cfRule>
    <cfRule type="containsText" dxfId="62" priority="40" operator="containsText" text="FALTA">
      <formula>NOT(ISERROR(SEARCH("FALTA",F132)))</formula>
    </cfRule>
  </conditionalFormatting>
  <conditionalFormatting sqref="F132:F141">
    <cfRule type="containsText" dxfId="61" priority="35" operator="containsText" text="N/A">
      <formula>NOT(ISERROR(SEARCH("N/A",F132)))</formula>
    </cfRule>
  </conditionalFormatting>
  <conditionalFormatting sqref="F132:F141">
    <cfRule type="containsText" dxfId="60" priority="34" operator="containsText" text="MEDIO">
      <formula>NOT(ISERROR(SEARCH("MEDIO",F132)))</formula>
    </cfRule>
  </conditionalFormatting>
  <conditionalFormatting sqref="F132:F141">
    <cfRule type="containsText" dxfId="59" priority="33" operator="containsText" text="R. MODERADO">
      <formula>NOT(ISERROR(SEARCH("R. MODERADO",F132)))</formula>
    </cfRule>
  </conditionalFormatting>
  <conditionalFormatting sqref="F132:F141">
    <cfRule type="containsText" dxfId="58" priority="30" operator="containsText" text="FALTA">
      <formula>NOT(ISERROR(SEARCH("FALTA",F132)))</formula>
    </cfRule>
    <cfRule type="containsText" dxfId="57" priority="31" operator="containsText" text="R. ALTO">
      <formula>NOT(ISERROR(SEARCH("R. ALTO",F132)))</formula>
    </cfRule>
    <cfRule type="containsText" dxfId="56" priority="32" operator="containsText" text="SANO">
      <formula>NOT(ISERROR(SEARCH("SANO",F132)))</formula>
    </cfRule>
  </conditionalFormatting>
  <conditionalFormatting sqref="F132:F136">
    <cfRule type="containsText" dxfId="55" priority="24" operator="containsText" text="BAJO">
      <formula>NOT(ISERROR(SEARCH("BAJO",F132)))</formula>
    </cfRule>
    <cfRule type="containsText" dxfId="54" priority="25" operator="containsText" text="MODERADO">
      <formula>NOT(ISERROR(SEARCH("MODERADO",F132)))</formula>
    </cfRule>
    <cfRule type="containsText" dxfId="53" priority="26" operator="containsText" text="SANO">
      <formula>NOT(ISERROR(SEARCH("SANO",F132)))</formula>
    </cfRule>
    <cfRule type="containsText" dxfId="52" priority="27" operator="containsText" text="ALTO">
      <formula>NOT(ISERROR(SEARCH("ALTO",F132)))</formula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1" priority="29" operator="containsText" text="ALTO">
      <formula>NOT(ISERROR(SEARCH("ALTO",F132)))</formula>
    </cfRule>
  </conditionalFormatting>
  <conditionalFormatting sqref="F133:F134 F4:F130 F137:F141">
    <cfRule type="containsText" dxfId="50" priority="18" operator="containsText" text="BAJO">
      <formula>NOT(ISERROR(SEARCH("BAJO",F4)))</formula>
    </cfRule>
    <cfRule type="containsText" dxfId="49" priority="19" operator="containsText" text="MODERADO">
      <formula>NOT(ISERROR(SEARCH("MODERADO",F4)))</formula>
    </cfRule>
    <cfRule type="containsText" dxfId="48" priority="20" operator="containsText" text="SANO">
      <formula>NOT(ISERROR(SEARCH("SANO",F4)))</formula>
    </cfRule>
    <cfRule type="containsText" dxfId="47" priority="21" operator="containsText" text="ALTO">
      <formula>NOT(ISERROR(SEARCH("ALTO",F4)))</formula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6" priority="23" operator="containsText" text="ALTO">
      <formula>NOT(ISERROR(SEARCH("ALTO",F4)))</formula>
    </cfRule>
  </conditionalFormatting>
  <conditionalFormatting sqref="F131">
    <cfRule type="containsText" dxfId="45" priority="13" operator="containsText" text="MODERADO">
      <formula>NOT(ISERROR(SEARCH("MODERADO",F131)))</formula>
    </cfRule>
    <cfRule type="containsText" dxfId="44" priority="14" operator="containsText" text="SANO">
      <formula>NOT(ISERROR(SEARCH("SANO",F131)))</formula>
    </cfRule>
    <cfRule type="containsText" dxfId="43" priority="15" operator="containsText" text="ALTO">
      <formula>NOT(ISERROR(SEARCH("ALTO",F131)))</formula>
    </cfRule>
    <cfRule type="containsText" dxfId="42" priority="16" operator="containsText" text="BAJO">
      <formula>NOT(ISERROR(SEARCH("BAJO",F131)))</formula>
    </cfRule>
    <cfRule type="containsText" dxfId="41" priority="17" operator="containsText" text="FALTA">
      <formula>NOT(ISERROR(SEARCH("FALTA",F131)))</formula>
    </cfRule>
  </conditionalFormatting>
  <conditionalFormatting sqref="F131">
    <cfRule type="containsText" dxfId="40" priority="12" operator="containsText" text="N/A">
      <formula>NOT(ISERROR(SEARCH("N/A",F131)))</formula>
    </cfRule>
  </conditionalFormatting>
  <conditionalFormatting sqref="F131">
    <cfRule type="containsText" dxfId="39" priority="11" operator="containsText" text="MEDIO">
      <formula>NOT(ISERROR(SEARCH("MEDIO",F131)))</formula>
    </cfRule>
  </conditionalFormatting>
  <conditionalFormatting sqref="F131">
    <cfRule type="containsText" dxfId="38" priority="10" operator="containsText" text="R. MODERADO">
      <formula>NOT(ISERROR(SEARCH("R. MODERADO",F131)))</formula>
    </cfRule>
  </conditionalFormatting>
  <conditionalFormatting sqref="F131">
    <cfRule type="containsText" dxfId="37" priority="7" operator="containsText" text="FALTA">
      <formula>NOT(ISERROR(SEARCH("FALTA",F131)))</formula>
    </cfRule>
    <cfRule type="containsText" dxfId="36" priority="8" operator="containsText" text="R. ALTO">
      <formula>NOT(ISERROR(SEARCH("R. ALTO",F131)))</formula>
    </cfRule>
    <cfRule type="containsText" dxfId="35" priority="9" operator="containsText" text="SANO">
      <formula>NOT(ISERROR(SEARCH("SANO",F131)))</formula>
    </cfRule>
  </conditionalFormatting>
  <conditionalFormatting sqref="F131">
    <cfRule type="containsText" dxfId="34" priority="1" operator="containsText" text="BAJO">
      <formula>NOT(ISERROR(SEARCH("BAJO",F131)))</formula>
    </cfRule>
    <cfRule type="containsText" dxfId="33" priority="2" operator="containsText" text="MODERADO">
      <formula>NOT(ISERROR(SEARCH("MODERADO",F131)))</formula>
    </cfRule>
    <cfRule type="containsText" dxfId="32" priority="3" operator="containsText" text="SANO">
      <formula>NOT(ISERROR(SEARCH("SANO",F131)))</formula>
    </cfRule>
    <cfRule type="containsText" dxfId="31" priority="4" operator="containsText" text="ALTO">
      <formula>NOT(ISERROR(SEARCH("ALTO",F131)))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30" priority="6" operator="containsText" text="ALTO">
      <formula>NOT(ISERROR(SEARCH("ALTO",F131)))</formula>
    </cfRule>
  </conditionalFormatting>
  <conditionalFormatting sqref="N103">
    <cfRule type="containsText" dxfId="29" priority="95938" operator="containsText" text="BAJO">
      <formula>NOT(ISERROR(SEARCH("BAJO",N103)))</formula>
    </cfRule>
    <cfRule type="containsText" dxfId="28" priority="95939" operator="containsText" text="MODERADO">
      <formula>NOT(ISERROR(SEARCH("MODERADO",N103)))</formula>
    </cfRule>
    <cfRule type="containsText" dxfId="27" priority="95940" operator="containsText" text="SANO">
      <formula>NOT(ISERROR(SEARCH("SANO",N103)))</formula>
    </cfRule>
    <cfRule type="containsText" dxfId="26" priority="95941" operator="containsText" text="ALTO">
      <formula>NOT(ISERROR(SEARCH("ALTO",N103)))</formula>
    </cfRule>
    <cfRule type="colorScale" priority="9594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5" priority="95943" operator="containsText" text="ALTO">
      <formula>NOT(ISERROR(SEARCH("ALTO",N103)))</formula>
    </cfRule>
  </conditionalFormatting>
  <conditionalFormatting sqref="L93:L128 L80:L81 L15 L22 L29 L31 L34 L50 L53:L58 L61:L65 L67:L69 L5:L13 L37:L42 L71:L78 L84:L89">
    <cfRule type="containsText" dxfId="24" priority="95952" operator="containsText" text="BAJO">
      <formula>NOT(ISERROR(SEARCH("BAJO",L5)))</formula>
    </cfRule>
    <cfRule type="containsText" dxfId="23" priority="95953" operator="containsText" text="MODERADO">
      <formula>NOT(ISERROR(SEARCH("MODERADO",L5)))</formula>
    </cfRule>
    <cfRule type="containsText" dxfId="22" priority="95954" operator="containsText" text="SANO">
      <formula>NOT(ISERROR(SEARCH("SANO",L5)))</formula>
    </cfRule>
    <cfRule type="containsText" dxfId="21" priority="95955" operator="containsText" text="ALTO">
      <formula>NOT(ISERROR(SEARCH("ALTO",L5)))</formula>
    </cfRule>
    <cfRule type="colorScale" priority="9595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0" priority="95957" operator="containsText" text="ALTO">
      <formula>NOT(ISERROR(SEARCH("ALTO",L5)))</formula>
    </cfRule>
  </conditionalFormatting>
  <conditionalFormatting sqref="T140:T141">
    <cfRule type="containsText" dxfId="19" priority="96178" operator="containsText" text="BAJO">
      <formula>NOT(ISERROR(SEARCH("BAJO",T140)))</formula>
    </cfRule>
    <cfRule type="containsText" dxfId="18" priority="96179" operator="containsText" text="MODERADO">
      <formula>NOT(ISERROR(SEARCH("MODERADO",T140)))</formula>
    </cfRule>
    <cfRule type="containsText" dxfId="17" priority="96180" operator="containsText" text="SANO">
      <formula>NOT(ISERROR(SEARCH("SANO",T140)))</formula>
    </cfRule>
    <cfRule type="containsText" dxfId="16" priority="96181" operator="containsText" text="ALTO">
      <formula>NOT(ISERROR(SEARCH("ALTO",T140)))</formula>
    </cfRule>
    <cfRule type="colorScale" priority="9618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5" priority="96183" operator="containsText" text="ALTO">
      <formula>NOT(ISERROR(SEARCH("ALTO",T140)))</formula>
    </cfRule>
  </conditionalFormatting>
  <conditionalFormatting sqref="R140:R141">
    <cfRule type="containsText" dxfId="14" priority="96184" operator="containsText" text="BAJO">
      <formula>NOT(ISERROR(SEARCH("BAJO",R140)))</formula>
    </cfRule>
    <cfRule type="containsText" dxfId="13" priority="96185" operator="containsText" text="MODERADO">
      <formula>NOT(ISERROR(SEARCH("MODERADO",R140)))</formula>
    </cfRule>
    <cfRule type="containsText" dxfId="12" priority="96186" operator="containsText" text="SANO">
      <formula>NOT(ISERROR(SEARCH("SANO",R140)))</formula>
    </cfRule>
    <cfRule type="containsText" dxfId="11" priority="96187" operator="containsText" text="ALTO">
      <formula>NOT(ISERROR(SEARCH("ALTO",R140)))</formula>
    </cfRule>
    <cfRule type="colorScale" priority="9618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" priority="96189" operator="containsText" text="ALTO">
      <formula>NOT(ISERROR(SEARCH("ALTO",R140)))</formula>
    </cfRule>
  </conditionalFormatting>
  <conditionalFormatting sqref="P140:P141">
    <cfRule type="containsText" dxfId="9" priority="96190" operator="containsText" text="BAJO">
      <formula>NOT(ISERROR(SEARCH("BAJO",P140)))</formula>
    </cfRule>
    <cfRule type="containsText" dxfId="8" priority="96191" operator="containsText" text="MODERADO">
      <formula>NOT(ISERROR(SEARCH("MODERADO",P140)))</formula>
    </cfRule>
    <cfRule type="containsText" dxfId="7" priority="96192" operator="containsText" text="SANO">
      <formula>NOT(ISERROR(SEARCH("SANO",P140)))</formula>
    </cfRule>
    <cfRule type="containsText" dxfId="6" priority="96193" operator="containsText" text="ALTO">
      <formula>NOT(ISERROR(SEARCH("ALTO",P140)))</formula>
    </cfRule>
    <cfRule type="colorScale" priority="9619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" priority="96195" operator="containsText" text="ALTO">
      <formula>NOT(ISERROR(SEARCH("ALTO",P140)))</formula>
    </cfRule>
  </conditionalFormatting>
  <conditionalFormatting sqref="V140:V141">
    <cfRule type="containsText" dxfId="4" priority="96196" operator="containsText" text="BAJO">
      <formula>NOT(ISERROR(SEARCH("BAJO",V140)))</formula>
    </cfRule>
    <cfRule type="containsText" dxfId="3" priority="96197" operator="containsText" text="MODERADO">
      <formula>NOT(ISERROR(SEARCH("MODERADO",V140)))</formula>
    </cfRule>
    <cfRule type="containsText" dxfId="2" priority="96198" operator="containsText" text="SANO">
      <formula>NOT(ISERROR(SEARCH("SANO",V140)))</formula>
    </cfRule>
    <cfRule type="containsText" dxfId="1" priority="96199" operator="containsText" text="ALTO">
      <formula>NOT(ISERROR(SEARCH("ALTO",V140)))</formula>
    </cfRule>
    <cfRule type="colorScale" priority="9620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96201" operator="containsText" text="ALTO">
      <formula>NOT(ISERROR(SEARCH("ALTO",V140)))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'C:\Users\samano.alma\Desktop\[TNG SANO - CHECK UP  2024 AGM.xlsx]Hoja1'!#REF!</xm:f>
          </x14:formula1>
          <xm:sqref>M19 M82:N83 N4:N81 N84:N141 L4:L141</xm:sqref>
        </x14:dataValidation>
        <x14:dataValidation type="list" allowBlank="1" showInputMessage="1" showErrorMessage="1" xr:uid="{00000000-0002-0000-0300-000001000000}">
          <x14:formula1>
            <xm:f>Hoja1!$G$2:$G$5</xm:f>
          </x14:formula1>
          <xm:sqref>C124:C127 C111:C113 C102:C103 C95 C106:C107 R4:R141 P4:P141 T4:T141 V4:V141 C4:C93</xm:sqref>
        </x14:dataValidation>
        <x14:dataValidation type="list" allowBlank="1" showInputMessage="1" showErrorMessage="1" xr:uid="{00000000-0002-0000-0300-000002000000}">
          <x14:formula1>
            <xm:f>Hoja1!$G$2:$G$6</xm:f>
          </x14:formula1>
          <xm:sqref>C4:C141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selection activeCell="E25" sqref="E25"/>
    </sheetView>
  </sheetViews>
  <sheetFormatPr baseColWidth="10" defaultRowHeight="15" x14ac:dyDescent="0.25"/>
  <cols>
    <col min="1" max="1" width="13.5703125" customWidth="1"/>
    <col min="3" max="3" width="23.42578125" customWidth="1"/>
    <col min="7" max="7" width="18.7109375" customWidth="1"/>
  </cols>
  <sheetData>
    <row r="1" spans="1:7" x14ac:dyDescent="0.25">
      <c r="A1" s="47" t="s">
        <v>264</v>
      </c>
      <c r="C1" s="47" t="s">
        <v>36</v>
      </c>
      <c r="E1" s="47" t="s">
        <v>268</v>
      </c>
      <c r="G1" s="47" t="s">
        <v>269</v>
      </c>
    </row>
    <row r="2" spans="1:7" x14ac:dyDescent="0.25">
      <c r="A2" s="45" t="s">
        <v>265</v>
      </c>
      <c r="C2" s="45" t="s">
        <v>168</v>
      </c>
      <c r="E2" s="45" t="s">
        <v>270</v>
      </c>
      <c r="G2" s="45" t="s">
        <v>244</v>
      </c>
    </row>
    <row r="3" spans="1:7" x14ac:dyDescent="0.25">
      <c r="A3" s="45" t="s">
        <v>266</v>
      </c>
      <c r="C3" s="45" t="s">
        <v>286</v>
      </c>
      <c r="E3" s="45" t="s">
        <v>271</v>
      </c>
      <c r="G3" s="45" t="s">
        <v>272</v>
      </c>
    </row>
    <row r="4" spans="1:7" x14ac:dyDescent="0.25">
      <c r="A4" s="45" t="s">
        <v>290</v>
      </c>
      <c r="C4" s="45" t="s">
        <v>285</v>
      </c>
      <c r="G4" s="45" t="s">
        <v>273</v>
      </c>
    </row>
    <row r="5" spans="1:7" x14ac:dyDescent="0.25">
      <c r="C5" s="45" t="s">
        <v>227</v>
      </c>
      <c r="G5" s="45" t="s">
        <v>249</v>
      </c>
    </row>
    <row r="6" spans="1:7" x14ac:dyDescent="0.25">
      <c r="C6" s="45" t="s">
        <v>284</v>
      </c>
      <c r="G6" s="48" t="s">
        <v>297</v>
      </c>
    </row>
    <row r="7" spans="1:7" x14ac:dyDescent="0.25">
      <c r="C7" s="45" t="s">
        <v>27</v>
      </c>
    </row>
    <row r="8" spans="1:7" x14ac:dyDescent="0.25">
      <c r="C8" s="45" t="s">
        <v>29</v>
      </c>
    </row>
    <row r="9" spans="1:7" x14ac:dyDescent="0.25">
      <c r="C9" s="45" t="s">
        <v>226</v>
      </c>
    </row>
    <row r="10" spans="1:7" x14ac:dyDescent="0.25">
      <c r="C10" s="45" t="s">
        <v>234</v>
      </c>
    </row>
    <row r="11" spans="1:7" x14ac:dyDescent="0.25">
      <c r="C11" s="45" t="s">
        <v>235</v>
      </c>
    </row>
    <row r="12" spans="1:7" x14ac:dyDescent="0.25">
      <c r="C12" s="45" t="s">
        <v>267</v>
      </c>
    </row>
    <row r="13" spans="1:7" x14ac:dyDescent="0.25">
      <c r="C13" s="45" t="s">
        <v>274</v>
      </c>
    </row>
    <row r="14" spans="1:7" x14ac:dyDescent="0.25">
      <c r="C14" s="45" t="s">
        <v>205</v>
      </c>
    </row>
    <row r="15" spans="1:7" x14ac:dyDescent="0.25">
      <c r="C15" s="45" t="s">
        <v>22</v>
      </c>
    </row>
    <row r="16" spans="1:7" x14ac:dyDescent="0.25">
      <c r="C16" s="45" t="s">
        <v>233</v>
      </c>
    </row>
    <row r="17" spans="1:9" x14ac:dyDescent="0.25">
      <c r="C17" s="45" t="s">
        <v>283</v>
      </c>
    </row>
    <row r="22" spans="1:9" x14ac:dyDescent="0.25">
      <c r="A22" s="86" t="s">
        <v>360</v>
      </c>
      <c r="B22" s="86" t="s">
        <v>37</v>
      </c>
      <c r="C22" s="86" t="s">
        <v>361</v>
      </c>
      <c r="D22" s="86"/>
      <c r="E22" s="86" t="s">
        <v>364</v>
      </c>
      <c r="F22" s="86" t="s">
        <v>365</v>
      </c>
      <c r="G22" s="86" t="s">
        <v>366</v>
      </c>
      <c r="H22" s="86" t="s">
        <v>367</v>
      </c>
      <c r="I22" s="86"/>
    </row>
    <row r="23" spans="1:9" x14ac:dyDescent="0.25">
      <c r="A23" s="87" t="s">
        <v>244</v>
      </c>
      <c r="B23" s="87">
        <v>88</v>
      </c>
      <c r="C23" s="87">
        <v>102</v>
      </c>
      <c r="D23" s="87"/>
      <c r="E23" s="87" t="s">
        <v>373</v>
      </c>
      <c r="F23" s="87" t="s">
        <v>375</v>
      </c>
      <c r="G23" s="87" t="s">
        <v>377</v>
      </c>
      <c r="H23" s="87" t="s">
        <v>368</v>
      </c>
      <c r="I23" s="87" t="s">
        <v>369</v>
      </c>
    </row>
    <row r="24" spans="1:9" x14ac:dyDescent="0.25">
      <c r="A24" s="87" t="s">
        <v>301</v>
      </c>
      <c r="B24" s="87" t="s">
        <v>362</v>
      </c>
      <c r="C24" s="87" t="s">
        <v>363</v>
      </c>
      <c r="D24" s="87"/>
      <c r="E24" s="87" t="s">
        <v>374</v>
      </c>
      <c r="F24" s="87" t="s">
        <v>376</v>
      </c>
      <c r="G24" s="87" t="s">
        <v>378</v>
      </c>
      <c r="H24" s="87" t="s">
        <v>370</v>
      </c>
      <c r="I24" s="87" t="s">
        <v>371</v>
      </c>
    </row>
    <row r="25" spans="1:9" x14ac:dyDescent="0.25">
      <c r="A25" s="87" t="s">
        <v>303</v>
      </c>
      <c r="B25" s="87">
        <v>105</v>
      </c>
      <c r="C25" s="87">
        <v>120</v>
      </c>
      <c r="D25" s="87"/>
      <c r="E25" s="87">
        <v>160</v>
      </c>
      <c r="F25" s="87">
        <v>301</v>
      </c>
      <c r="G25" s="87">
        <v>350</v>
      </c>
      <c r="H25" s="87" t="s">
        <v>372</v>
      </c>
      <c r="I25" s="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</vt:lpstr>
      <vt:lpstr>Gráficas TNG Sano</vt:lpstr>
      <vt:lpstr>Tendencia x Participante</vt:lpstr>
      <vt:lpstr>GENERAL 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Aguileta Roquet, Maria Susana</dc:creator>
  <cp:lastModifiedBy>Alejandro Iñaki Mantilla Salas</cp:lastModifiedBy>
  <cp:lastPrinted>2025-03-11T19:32:54Z</cp:lastPrinted>
  <dcterms:created xsi:type="dcterms:W3CDTF">2017-04-11T14:34:19Z</dcterms:created>
  <dcterms:modified xsi:type="dcterms:W3CDTF">2026-06-16T19:48:59Z</dcterms:modified>
</cp:coreProperties>
</file>